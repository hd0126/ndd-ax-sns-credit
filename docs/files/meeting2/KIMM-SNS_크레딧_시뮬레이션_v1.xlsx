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" sheetId="1" state="visible" r:id="rId3"/>
    <sheet name="활동로그" sheetId="2" state="visible" r:id="rId4"/>
    <sheet name="개인별정산" sheetId="3" state="visible" r:id="rId5"/>
    <sheet name="사전등록 시나리오" sheetId="4" state="visible" r:id="rId6"/>
    <sheet name="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4" authorId="0">
      <text>
        <r>
          <rPr>
            <sz val="10"/>
            <rFont val="Arial"/>
            <family val="2"/>
          </rPr>
          <t xml:space="preserve">§3 </t>
        </r>
        <r>
          <rPr>
            <sz val="10"/>
            <rFont val="Noto Sans CJK SC"/>
            <family val="2"/>
          </rPr>
          <t xml:space="preserve">최소 안전장치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이 값을 초과한 분은 정산에서 잘립니다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<sst xmlns="http://schemas.openxmlformats.org/spreadsheetml/2006/main" count="267" uniqueCount="223">
  <si>
    <t xml:space="preserve">크레딧 배분 설정</t>
  </si>
  <si>
    <t xml:space="preserve">노란색 셀만 수정하십시오. 값을 바꾸면 모든 시트가 자동 재계산됩니다.</t>
  </si>
  <si>
    <r>
      <rPr>
        <b val="true"/>
        <sz val="12"/>
        <color rgb="FF1A1A1A"/>
        <rFont val="맑은 고딕"/>
        <family val="0"/>
        <charset val="1"/>
      </rPr>
      <t xml:space="preserve">K-Credit — </t>
    </r>
    <r>
      <rPr>
        <b val="true"/>
        <sz val="12"/>
        <color rgb="FF1A1A1A"/>
        <rFont val="Noto Sans CJK SC"/>
        <family val="2"/>
      </rPr>
      <t xml:space="preserve">지식 콘텐츠 기여</t>
    </r>
  </si>
  <si>
    <t xml:space="preserve">행위</t>
  </si>
  <si>
    <t xml:space="preserve">점수</t>
  </si>
  <si>
    <t xml:space="preserve">설계 의도</t>
  </si>
  <si>
    <t xml:space="preserve">글 작성</t>
  </si>
  <si>
    <t xml:space="preserve">기본 단위</t>
  </si>
  <si>
    <t xml:space="preserve">첫 글 작성 (생애 1회)</t>
  </si>
  <si>
    <t xml:space="preserve">진입 장벽 제거 — 최대 병목에 최대 유인</t>
  </si>
  <si>
    <t xml:space="preserve">댓글 작성</t>
  </si>
  <si>
    <t xml:space="preserve">논의 참여 유도</t>
  </si>
  <si>
    <t xml:space="preserve">좋아요 받음</t>
  </si>
  <si>
    <t xml:space="preserve">반응 신호 (주 재원 아님)</t>
  </si>
  <si>
    <t xml:space="preserve">좋아요 누름</t>
  </si>
  <si>
    <t xml:space="preserve">읽기만 하는 다수의 참여 유도</t>
  </si>
  <si>
    <t xml:space="preserve">위키 전환(published)</t>
  </si>
  <si>
    <t xml:space="preserve">검토 통과 = 품질 보증</t>
  </si>
  <si>
    <t xml:space="preserve">타 문서가 인용·참조</t>
  </si>
  <si>
    <t xml:space="preserve">재사용 실증</t>
  </si>
  <si>
    <r>
      <rPr>
        <b val="true"/>
        <sz val="12"/>
        <color rgb="FF1A1A1A"/>
        <rFont val="맑은 고딕"/>
        <family val="0"/>
        <charset val="1"/>
      </rPr>
      <t xml:space="preserve">S-Credit — </t>
    </r>
    <r>
      <rPr>
        <b val="true"/>
        <sz val="12"/>
        <color rgb="FF1A1A1A"/>
        <rFont val="Noto Sans CJK SC"/>
        <family val="2"/>
      </rPr>
      <t xml:space="preserve">교육</t>
    </r>
    <r>
      <rPr>
        <b val="true"/>
        <sz val="12"/>
        <color rgb="FF1A1A1A"/>
        <rFont val="맑은 고딕"/>
        <family val="0"/>
        <charset val="1"/>
      </rPr>
      <t xml:space="preserve">·</t>
    </r>
    <r>
      <rPr>
        <b val="true"/>
        <sz val="12"/>
        <color rgb="FF1A1A1A"/>
        <rFont val="Noto Sans CJK SC"/>
        <family val="2"/>
      </rPr>
      <t xml:space="preserve">전파 기여</t>
    </r>
  </si>
  <si>
    <t xml:space="preserve">교육·코칭 진행 (1회)</t>
  </si>
  <si>
    <t xml:space="preserve">직접 전파 · AX혁신팀 주요 활동</t>
  </si>
  <si>
    <t xml:space="preserve">타 부서 도입 지원</t>
  </si>
  <si>
    <t xml:space="preserve">확산 실증 — 가장 높은 가치</t>
  </si>
  <si>
    <t xml:space="preserve">안전장치</t>
  </si>
  <si>
    <t xml:space="preserve">항목</t>
  </si>
  <si>
    <t xml:space="preserve">값</t>
  </si>
  <si>
    <t xml:space="preserve">비고</t>
  </si>
  <si>
    <t xml:space="preserve">월 상한 (1인)</t>
  </si>
  <si>
    <t xml:space="preserve">소수 독점 방지 — 부정 방지 아님</t>
  </si>
  <si>
    <t xml:space="preserve">동일인 좋아요 1일 제한</t>
  </si>
  <si>
    <t xml:space="preserve">동일 작성자에 대한 1일 최대 횟수</t>
  </si>
  <si>
    <t xml:space="preserve">시뮬레이션 규모</t>
  </si>
  <si>
    <t xml:space="preserve">전체 인원</t>
  </si>
  <si>
    <r>
      <rPr>
        <sz val="9"/>
        <color rgb="FF6B6B6B"/>
        <rFont val="맑은 고딕"/>
        <family val="0"/>
        <charset val="1"/>
      </rPr>
      <t xml:space="preserve">KIMM </t>
    </r>
    <r>
      <rPr>
        <sz val="9"/>
        <color rgb="FF6B6B6B"/>
        <rFont val="Noto Sans CJK SC"/>
        <family val="2"/>
      </rPr>
      <t xml:space="preserve">전 직원 가정</t>
    </r>
  </si>
  <si>
    <t xml:space="preserve">작성자 수</t>
  </si>
  <si>
    <t xml:space="preserve">초기 현실 가정 (전체의 5%)</t>
  </si>
  <si>
    <t xml:space="preserve">열람 참여자 수</t>
  </si>
  <si>
    <t xml:space="preserve">좋아요를 누르는 인원</t>
  </si>
  <si>
    <t xml:space="preserve">※ 규모 값은 참고용 표기입니다. 실제 시뮬레이션 대상은 '활동로그' 시트의 데이터입니다.</t>
  </si>
  <si>
    <t xml:space="preserve">※ 노란 셀(점수·안전장치)을 바꾸면 개인별정산·요약 시트가 즉시 재계산됩니다.</t>
  </si>
  <si>
    <t xml:space="preserve">활동 로그 (가상 데이터)</t>
  </si>
  <si>
    <r>
      <rPr>
        <sz val="10"/>
        <color rgb="FF6B6B6B"/>
        <rFont val="맑은 고딕"/>
        <family val="0"/>
        <charset val="1"/>
      </rPr>
      <t xml:space="preserve">8</t>
    </r>
    <r>
      <rPr>
        <sz val="10"/>
        <color rgb="FF6B6B6B"/>
        <rFont val="Noto Sans CJK SC"/>
        <family val="2"/>
      </rPr>
      <t xml:space="preserve">월 런칭 후에는 이 시트를 실제 플랫폼 로그로 교체하면 그대로 정산 도구가 됩니다</t>
    </r>
    <r>
      <rPr>
        <sz val="10"/>
        <color rgb="FF6B6B6B"/>
        <rFont val="맑은 고딕"/>
        <family val="0"/>
        <charset val="1"/>
      </rPr>
      <t xml:space="preserve">.</t>
    </r>
  </si>
  <si>
    <t xml:space="preserve">ID</t>
  </si>
  <si>
    <t xml:space="preserve">이름</t>
  </si>
  <si>
    <t xml:space="preserve">유형</t>
  </si>
  <si>
    <t xml:space="preserve">글 수</t>
  </si>
  <si>
    <t xml:space="preserve">첫 글 여부</t>
  </si>
  <si>
    <t xml:space="preserve">댓글 수</t>
  </si>
  <si>
    <t xml:space="preserve">받은 좋아요</t>
  </si>
  <si>
    <t xml:space="preserve">누른 좋아요</t>
  </si>
  <si>
    <t xml:space="preserve">위키 전환</t>
  </si>
  <si>
    <t xml:space="preserve">인용 받음</t>
  </si>
  <si>
    <t xml:space="preserve">교육 진행</t>
  </si>
  <si>
    <t xml:space="preserve">타부서 지원</t>
  </si>
  <si>
    <t xml:space="preserve">U001</t>
  </si>
  <si>
    <t xml:space="preserve">작성자 A</t>
  </si>
  <si>
    <t xml:space="preserve">우수 생산자</t>
  </si>
  <si>
    <t xml:space="preserve">양질의 글 · 독자 다수가 고르게 반응</t>
  </si>
  <si>
    <t xml:space="preserve">U002</t>
  </si>
  <si>
    <t xml:space="preserve">작성자 B</t>
  </si>
  <si>
    <t xml:space="preserve">다작형</t>
  </si>
  <si>
    <t xml:space="preserve">글 수는 많으나 건당 반응은 적음</t>
  </si>
  <si>
    <t xml:space="preserve">U003</t>
  </si>
  <si>
    <t xml:space="preserve">작성자 C</t>
  </si>
  <si>
    <t xml:space="preserve">신규 진입자</t>
  </si>
  <si>
    <t xml:space="preserve">첫 글 1건 · 반응 양호</t>
  </si>
  <si>
    <t xml:space="preserve">U004</t>
  </si>
  <si>
    <t xml:space="preserve">작성자 D</t>
  </si>
  <si>
    <t xml:space="preserve">교육 중심</t>
  </si>
  <si>
    <t xml:space="preserve">교육·코칭 중심 · S-Credit 비중 큼</t>
  </si>
  <si>
    <t xml:space="preserve">U005</t>
  </si>
  <si>
    <t xml:space="preserve">열람자 E</t>
  </si>
  <si>
    <t xml:space="preserve">열람 전용</t>
  </si>
  <si>
    <t xml:space="preserve">글 없음, 반응만 참여</t>
  </si>
  <si>
    <t xml:space="preserve">U006</t>
  </si>
  <si>
    <t xml:space="preserve">참여자 6</t>
  </si>
  <si>
    <t xml:space="preserve">일반</t>
  </si>
  <si>
    <t xml:space="preserve">U007</t>
  </si>
  <si>
    <t xml:space="preserve">참여자 7</t>
  </si>
  <si>
    <t xml:space="preserve">U008</t>
  </si>
  <si>
    <t xml:space="preserve">참여자 8</t>
  </si>
  <si>
    <t xml:space="preserve">U009</t>
  </si>
  <si>
    <t xml:space="preserve">참여자 9</t>
  </si>
  <si>
    <t xml:space="preserve">U010</t>
  </si>
  <si>
    <t xml:space="preserve">참여자 10</t>
  </si>
  <si>
    <t xml:space="preserve">U011</t>
  </si>
  <si>
    <t xml:space="preserve">참여자 11</t>
  </si>
  <si>
    <t xml:space="preserve">U012</t>
  </si>
  <si>
    <t xml:space="preserve">참여자 12</t>
  </si>
  <si>
    <t xml:space="preserve">U013</t>
  </si>
  <si>
    <t xml:space="preserve">참여자 13</t>
  </si>
  <si>
    <t xml:space="preserve">U014</t>
  </si>
  <si>
    <t xml:space="preserve">참여자 14</t>
  </si>
  <si>
    <t xml:space="preserve">U015</t>
  </si>
  <si>
    <t xml:space="preserve">참여자 15</t>
  </si>
  <si>
    <t xml:space="preserve">U016</t>
  </si>
  <si>
    <t xml:space="preserve">참여자 16</t>
  </si>
  <si>
    <t xml:space="preserve">U017</t>
  </si>
  <si>
    <t xml:space="preserve">참여자 17</t>
  </si>
  <si>
    <t xml:space="preserve">U018</t>
  </si>
  <si>
    <t xml:space="preserve">참여자 18</t>
  </si>
  <si>
    <t xml:space="preserve">U019</t>
  </si>
  <si>
    <t xml:space="preserve">참여자 19</t>
  </si>
  <si>
    <t xml:space="preserve">U020</t>
  </si>
  <si>
    <t xml:space="preserve">참여자 20</t>
  </si>
  <si>
    <t xml:space="preserve">U021</t>
  </si>
  <si>
    <t xml:space="preserve">참여자 21</t>
  </si>
  <si>
    <t xml:space="preserve">U022</t>
  </si>
  <si>
    <t xml:space="preserve">참여자 22</t>
  </si>
  <si>
    <t xml:space="preserve">U023</t>
  </si>
  <si>
    <t xml:space="preserve">참여자 23</t>
  </si>
  <si>
    <t xml:space="preserve">U024</t>
  </si>
  <si>
    <t xml:space="preserve">참여자 24</t>
  </si>
  <si>
    <t xml:space="preserve">U025</t>
  </si>
  <si>
    <t xml:space="preserve">참여자 25</t>
  </si>
  <si>
    <r>
      <rPr>
        <sz val="10"/>
        <color rgb="FF6B6B6B"/>
        <rFont val="맑은 고딕"/>
        <family val="0"/>
        <charset val="1"/>
      </rPr>
      <t xml:space="preserve">※ '</t>
    </r>
    <r>
      <rPr>
        <sz val="10"/>
        <color rgb="FF6B6B6B"/>
        <rFont val="Noto Sans CJK SC"/>
        <family val="2"/>
      </rPr>
      <t xml:space="preserve">첫 글 여부</t>
    </r>
    <r>
      <rPr>
        <sz val="10"/>
        <color rgb="FF6B6B6B"/>
        <rFont val="맑은 고딕"/>
        <family val="0"/>
        <charset val="1"/>
      </rPr>
      <t xml:space="preserve">' 1 = </t>
    </r>
    <r>
      <rPr>
        <sz val="10"/>
        <color rgb="FF6B6B6B"/>
        <rFont val="Noto Sans CJK SC"/>
        <family val="2"/>
      </rPr>
      <t xml:space="preserve">생애 첫 글 작성 </t>
    </r>
    <r>
      <rPr>
        <sz val="10"/>
        <color rgb="FF6B6B6B"/>
        <rFont val="맑은 고딕"/>
        <family val="0"/>
        <charset val="1"/>
      </rPr>
      <t xml:space="preserve">(</t>
    </r>
    <r>
      <rPr>
        <sz val="10"/>
        <color rgb="FF6B6B6B"/>
        <rFont val="Noto Sans CJK SC"/>
        <family val="2"/>
      </rPr>
      <t xml:space="preserve">보너스 대상</t>
    </r>
    <r>
      <rPr>
        <sz val="10"/>
        <color rgb="FF6B6B6B"/>
        <rFont val="맑은 고딕"/>
        <family val="0"/>
        <charset val="1"/>
      </rPr>
      <t xml:space="preserve">) · 0 = </t>
    </r>
    <r>
      <rPr>
        <sz val="10"/>
        <color rgb="FF6B6B6B"/>
        <rFont val="Noto Sans CJK SC"/>
        <family val="2"/>
      </rPr>
      <t xml:space="preserve">해당 없음</t>
    </r>
  </si>
  <si>
    <t xml:space="preserve">※ 상위 5행은 회의 설명용 대표 유형이며, 나머지는 무작위 생성한 일반 참여자입니다.</t>
  </si>
  <si>
    <t xml:space="preserve">개인별 크레딧 정산</t>
  </si>
  <si>
    <t xml:space="preserve">설정 시트의 점수를 바꾸면 이 시트가 자동으로 다시 계산됩니다.</t>
  </si>
  <si>
    <t xml:space="preserve">글</t>
  </si>
  <si>
    <t xml:space="preserve">첫글보너스</t>
  </si>
  <si>
    <t xml:space="preserve">댓글</t>
  </si>
  <si>
    <t xml:space="preserve">좋아요받음</t>
  </si>
  <si>
    <t xml:space="preserve">좋아요누름</t>
  </si>
  <si>
    <t xml:space="preserve">위키전환</t>
  </si>
  <si>
    <t xml:space="preserve">인용</t>
  </si>
  <si>
    <r>
      <rPr>
        <b val="true"/>
        <sz val="10"/>
        <color rgb="FF1A1A1A"/>
        <rFont val="맑은 고딕"/>
        <family val="0"/>
        <charset val="1"/>
      </rPr>
      <t xml:space="preserve">K-Credit </t>
    </r>
    <r>
      <rPr>
        <b val="true"/>
        <sz val="10"/>
        <color rgb="FF1A1A1A"/>
        <rFont val="Noto Sans CJK SC"/>
        <family val="2"/>
      </rPr>
      <t xml:space="preserve">소계</t>
    </r>
  </si>
  <si>
    <r>
      <rPr>
        <b val="true"/>
        <sz val="10"/>
        <color rgb="FF1A1A1A"/>
        <rFont val="맑은 고딕"/>
        <family val="0"/>
        <charset val="1"/>
      </rPr>
      <t xml:space="preserve">S-Credit </t>
    </r>
    <r>
      <rPr>
        <b val="true"/>
        <sz val="10"/>
        <color rgb="FF1A1A1A"/>
        <rFont val="Noto Sans CJK SC"/>
        <family val="2"/>
      </rPr>
      <t xml:space="preserve">소계</t>
    </r>
  </si>
  <si>
    <t xml:space="preserve">합계(상한 전)</t>
  </si>
  <si>
    <t xml:space="preserve">월 상한 적용</t>
  </si>
  <si>
    <t xml:space="preserve">최종 크레딧</t>
  </si>
  <si>
    <t xml:space="preserve">합계</t>
  </si>
  <si>
    <t xml:space="preserve">사전 등록분 크레딧 처리 시나리오</t>
  </si>
  <si>
    <r>
      <rPr>
        <sz val="10"/>
        <color rgb="FF6B6B6B"/>
        <rFont val="Noto Sans CJK SC"/>
        <family val="2"/>
      </rPr>
      <t xml:space="preserve">운영</t>
    </r>
    <r>
      <rPr>
        <sz val="10"/>
        <color rgb="FF6B6B6B"/>
        <rFont val="맑은 고딕"/>
        <family val="0"/>
        <charset val="1"/>
      </rPr>
      <t xml:space="preserve">(</t>
    </r>
    <r>
      <rPr>
        <sz val="10"/>
        <color rgb="FF6B6B6B"/>
        <rFont val="Noto Sans CJK SC"/>
        <family val="2"/>
      </rPr>
      <t xml:space="preserve">안</t>
    </r>
    <r>
      <rPr>
        <sz val="10"/>
        <color rgb="FF6B6B6B"/>
        <rFont val="맑은 고딕"/>
        <family val="0"/>
        <charset val="1"/>
      </rPr>
      <t xml:space="preserve">) §5.2 </t>
    </r>
    <r>
      <rPr>
        <sz val="10"/>
        <color rgb="FF6B6B6B"/>
        <rFont val="Noto Sans CJK SC"/>
        <family val="2"/>
      </rPr>
      <t xml:space="preserve">결정용 — </t>
    </r>
    <r>
      <rPr>
        <sz val="10"/>
        <color rgb="FF6B6B6B"/>
        <rFont val="맑은 고딕"/>
        <family val="0"/>
        <charset val="1"/>
      </rPr>
      <t xml:space="preserve">AX</t>
    </r>
    <r>
      <rPr>
        <sz val="10"/>
        <color rgb="FF6B6B6B"/>
        <rFont val="Noto Sans CJK SC"/>
        <family val="2"/>
      </rPr>
      <t xml:space="preserve">혁신팀이 런칭 전 사전 등록한 콘텐츠에 크레딧을 부여할지 비교</t>
    </r>
  </si>
  <si>
    <t xml:space="preserve">가정</t>
  </si>
  <si>
    <r>
      <rPr>
        <sz val="10"/>
        <rFont val="맑은 고딕"/>
        <family val="0"/>
        <charset val="1"/>
      </rPr>
      <t xml:space="preserve">AX</t>
    </r>
    <r>
      <rPr>
        <sz val="10"/>
        <rFont val="Noto Sans CJK SC"/>
        <family val="2"/>
      </rPr>
      <t xml:space="preserve">혁신팀 인원</t>
    </r>
  </si>
  <si>
    <r>
      <rPr>
        <sz val="9"/>
        <color rgb="FF6B6B6B"/>
        <rFont val="Noto Sans CJK SC"/>
        <family val="2"/>
      </rPr>
      <t xml:space="preserve">기획보고서 </t>
    </r>
    <r>
      <rPr>
        <sz val="9"/>
        <color rgb="FF6B6B6B"/>
        <rFont val="맑은 고딕"/>
        <family val="0"/>
        <charset val="1"/>
      </rPr>
      <t xml:space="preserve">v3 </t>
    </r>
    <r>
      <rPr>
        <sz val="9"/>
        <color rgb="FF6B6B6B"/>
        <rFont val="Noto Sans CJK SC"/>
        <family val="2"/>
      </rPr>
      <t xml:space="preserve">명단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</si>
  <si>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인당 사전 등록 건수</t>
    </r>
  </si>
  <si>
    <r>
      <rPr>
        <sz val="9"/>
        <color rgb="FF6B6B6B"/>
        <rFont val="Noto Sans CJK SC"/>
        <family val="2"/>
      </rPr>
      <t xml:space="preserve">런칭 시점 </t>
    </r>
    <r>
      <rPr>
        <sz val="9"/>
        <color rgb="FF6B6B6B"/>
        <rFont val="맑은 고딕"/>
        <family val="0"/>
        <charset val="1"/>
      </rPr>
      <t xml:space="preserve">30~50</t>
    </r>
    <r>
      <rPr>
        <sz val="9"/>
        <color rgb="FF6B6B6B"/>
        <rFont val="Noto Sans CJK SC"/>
        <family val="2"/>
      </rPr>
      <t xml:space="preserve">건 확보 목표 기준</t>
    </r>
  </si>
  <si>
    <t xml:space="preserve">사전 등록분 첫글 해당</t>
  </si>
  <si>
    <r>
      <rPr>
        <sz val="9"/>
        <color rgb="FF6B6B6B"/>
        <rFont val="맑은 고딕"/>
        <family val="0"/>
        <charset val="1"/>
      </rPr>
      <t xml:space="preserve">1 = </t>
    </r>
    <r>
      <rPr>
        <sz val="9"/>
        <color rgb="FF6B6B6B"/>
        <rFont val="Noto Sans CJK SC"/>
        <family val="2"/>
      </rPr>
      <t xml:space="preserve">사전 등록이 생애 첫 글이 됨 </t>
    </r>
    <r>
      <rPr>
        <sz val="9"/>
        <color rgb="FF6B6B6B"/>
        <rFont val="맑은 고딕"/>
        <family val="0"/>
        <charset val="1"/>
      </rPr>
      <t xml:space="preserve">/ 0 = </t>
    </r>
    <r>
      <rPr>
        <sz val="9"/>
        <color rgb="FF6B6B6B"/>
        <rFont val="Noto Sans CJK SC"/>
        <family val="2"/>
      </rPr>
      <t xml:space="preserve">아님</t>
    </r>
  </si>
  <si>
    <t xml:space="preserve">사전 등록분 예상 좋아요</t>
  </si>
  <si>
    <t xml:space="preserve">런칭 직후 열람 집중으로 건당 반응</t>
  </si>
  <si>
    <r>
      <rPr>
        <b val="true"/>
        <sz val="12"/>
        <color rgb="FF1A1A1A"/>
        <rFont val="Noto Sans CJK SC"/>
        <family val="2"/>
      </rPr>
      <t xml:space="preserve">혁신팀 </t>
    </r>
    <r>
      <rPr>
        <b val="true"/>
        <sz val="12"/>
        <color rgb="FF1A1A1A"/>
        <rFont val="맑은 고딕"/>
        <family val="0"/>
        <charset val="1"/>
      </rPr>
      <t xml:space="preserve">1</t>
    </r>
    <r>
      <rPr>
        <b val="true"/>
        <sz val="12"/>
        <color rgb="FF1A1A1A"/>
        <rFont val="Noto Sans CJK SC"/>
        <family val="2"/>
      </rPr>
      <t xml:space="preserve">인당 사전 등록 점수</t>
    </r>
  </si>
  <si>
    <t xml:space="preserve">구성 요소</t>
  </si>
  <si>
    <t xml:space="preserve">산식</t>
  </si>
  <si>
    <r>
      <rPr>
        <sz val="9"/>
        <color rgb="FF6B6B6B"/>
        <rFont val="Noto Sans CJK SC"/>
        <family val="2"/>
      </rPr>
      <t xml:space="preserve">등록 건수 </t>
    </r>
    <r>
      <rPr>
        <sz val="9"/>
        <color rgb="FF6B6B6B"/>
        <rFont val="맑은 고딕"/>
        <family val="0"/>
        <charset val="1"/>
      </rPr>
      <t xml:space="preserve">× </t>
    </r>
    <r>
      <rPr>
        <sz val="9"/>
        <color rgb="FF6B6B6B"/>
        <rFont val="Noto Sans CJK SC"/>
        <family val="2"/>
      </rPr>
      <t xml:space="preserve">글 작성 점수</t>
    </r>
  </si>
  <si>
    <t xml:space="preserve">첫 글 보너스</t>
  </si>
  <si>
    <r>
      <rPr>
        <sz val="9"/>
        <color rgb="FF6B6B6B"/>
        <rFont val="Noto Sans CJK SC"/>
        <family val="2"/>
      </rPr>
      <t xml:space="preserve">첫글 해당 여부 </t>
    </r>
    <r>
      <rPr>
        <sz val="9"/>
        <color rgb="FF6B6B6B"/>
        <rFont val="맑은 고딕"/>
        <family val="0"/>
        <charset val="1"/>
      </rPr>
      <t xml:space="preserve">× </t>
    </r>
    <r>
      <rPr>
        <sz val="9"/>
        <color rgb="FF6B6B6B"/>
        <rFont val="Noto Sans CJK SC"/>
        <family val="2"/>
      </rPr>
      <t xml:space="preserve">보너스</t>
    </r>
  </si>
  <si>
    <r>
      <rPr>
        <sz val="9"/>
        <color rgb="FF6B6B6B"/>
        <rFont val="Noto Sans CJK SC"/>
        <family val="2"/>
      </rPr>
      <t xml:space="preserve">등록 건수 </t>
    </r>
    <r>
      <rPr>
        <sz val="9"/>
        <color rgb="FF6B6B6B"/>
        <rFont val="맑은 고딕"/>
        <family val="0"/>
        <charset val="1"/>
      </rPr>
      <t xml:space="preserve">× </t>
    </r>
    <r>
      <rPr>
        <sz val="9"/>
        <color rgb="FF6B6B6B"/>
        <rFont val="Noto Sans CJK SC"/>
        <family val="2"/>
      </rPr>
      <t xml:space="preserve">건당 좋아요 </t>
    </r>
    <r>
      <rPr>
        <sz val="9"/>
        <color rgb="FF6B6B6B"/>
        <rFont val="맑은 고딕"/>
        <family val="0"/>
        <charset val="1"/>
      </rPr>
      <t xml:space="preserve">× </t>
    </r>
    <r>
      <rPr>
        <sz val="9"/>
        <color rgb="FF6B6B6B"/>
        <rFont val="Noto Sans CJK SC"/>
        <family val="2"/>
      </rPr>
      <t xml:space="preserve">점수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</si>
  <si>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인당 합계</t>
    </r>
  </si>
  <si>
    <t xml:space="preserve">사전 등록만으로 획득하는 점수</t>
  </si>
  <si>
    <r>
      <rPr>
        <b val="true"/>
        <sz val="12"/>
        <color rgb="FF1A1A1A"/>
        <rFont val="Noto Sans CJK SC"/>
        <family val="2"/>
      </rPr>
      <t xml:space="preserve">부여 </t>
    </r>
    <r>
      <rPr>
        <b val="true"/>
        <sz val="12"/>
        <color rgb="FF1A1A1A"/>
        <rFont val="맑은 고딕"/>
        <family val="0"/>
        <charset val="1"/>
      </rPr>
      <t xml:space="preserve">/ </t>
    </r>
    <r>
      <rPr>
        <b val="true"/>
        <sz val="12"/>
        <color rgb="FF1A1A1A"/>
        <rFont val="Noto Sans CJK SC"/>
        <family val="2"/>
      </rPr>
      <t xml:space="preserve">미부여 비교</t>
    </r>
  </si>
  <si>
    <t xml:space="preserve">지표</t>
  </si>
  <si>
    <t xml:space="preserve">① 부여</t>
  </si>
  <si>
    <t xml:space="preserve">② 미부여</t>
  </si>
  <si>
    <t xml:space="preserve">해석</t>
  </si>
  <si>
    <r>
      <rPr>
        <sz val="10"/>
        <rFont val="Noto Sans CJK SC"/>
        <family val="2"/>
      </rPr>
      <t xml:space="preserve">혁신팀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점수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사전분</t>
    </r>
    <r>
      <rPr>
        <sz val="10"/>
        <rFont val="맑은 고딕"/>
        <family val="0"/>
        <charset val="1"/>
      </rPr>
      <t xml:space="preserve">)</t>
    </r>
  </si>
  <si>
    <t xml:space="preserve">0</t>
  </si>
  <si>
    <t xml:space="preserve">미부여 시 사전 등록은 점수에 반영되지 않음</t>
  </si>
  <si>
    <r>
      <rPr>
        <sz val="10"/>
        <rFont val="Noto Sans CJK SC"/>
        <family val="2"/>
      </rPr>
      <t xml:space="preserve">혁신팀 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인 합계</t>
    </r>
  </si>
  <si>
    <t xml:space="preserve">제도 전체에 유입되는 점수 총량</t>
  </si>
  <si>
    <r>
      <rPr>
        <sz val="10"/>
        <rFont val="Noto Sans CJK SC"/>
        <family val="2"/>
      </rPr>
      <t xml:space="preserve">일반 참여자 평균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</si>
  <si>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B6B6B"/>
        <rFont val="맑은 고딕"/>
        <family val="0"/>
        <charset val="1"/>
      </rPr>
      <t xml:space="preserve">'</t>
    </r>
    <r>
      <rPr>
        <sz val="9"/>
        <color rgb="FF6B6B6B"/>
        <rFont val="Noto Sans CJK SC"/>
        <family val="2"/>
      </rPr>
      <t xml:space="preserve">개인별정산</t>
    </r>
    <r>
      <rPr>
        <sz val="9"/>
        <color rgb="FF6B6B6B"/>
        <rFont val="맑은 고딕"/>
        <family val="0"/>
        <charset val="1"/>
      </rPr>
      <t xml:space="preserve">' </t>
    </r>
    <r>
      <rPr>
        <sz val="9"/>
        <color rgb="FF6B6B6B"/>
        <rFont val="Noto Sans CJK SC"/>
        <family val="2"/>
      </rPr>
      <t xml:space="preserve">시트 기준 </t>
    </r>
    <r>
      <rPr>
        <sz val="9"/>
        <color rgb="FF6B6B6B"/>
        <rFont val="맑은 고딕"/>
        <family val="0"/>
        <charset val="1"/>
      </rPr>
      <t xml:space="preserve">1</t>
    </r>
    <r>
      <rPr>
        <sz val="9"/>
        <color rgb="FF6B6B6B"/>
        <rFont val="Noto Sans CJK SC"/>
        <family val="2"/>
      </rPr>
      <t xml:space="preserve">인 평균</t>
    </r>
  </si>
  <si>
    <r>
      <rPr>
        <sz val="10"/>
        <rFont val="Noto Sans CJK SC"/>
        <family val="2"/>
      </rPr>
      <t xml:space="preserve">혁신팀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일반 평균 배수</t>
    </r>
  </si>
  <si>
    <r>
      <rPr>
        <sz val="9"/>
        <color rgb="FF6B6B6B"/>
        <rFont val="맑은 고딕"/>
        <family val="0"/>
        <charset val="1"/>
      </rPr>
      <t xml:space="preserve">1.0</t>
    </r>
    <r>
      <rPr>
        <sz val="9"/>
        <color rgb="FF6B6B6B"/>
        <rFont val="Noto Sans CJK SC"/>
        <family val="2"/>
      </rPr>
      <t xml:space="preserve">배를 넘으면 사전 등록만으로 평균을 상회</t>
    </r>
  </si>
  <si>
    <r>
      <rPr>
        <sz val="10"/>
        <rFont val="Noto Sans CJK SC"/>
        <family val="2"/>
      </rPr>
      <t xml:space="preserve">월 상한</t>
    </r>
    <r>
      <rPr>
        <sz val="10"/>
        <rFont val="맑은 고딕"/>
        <family val="0"/>
        <charset val="1"/>
      </rPr>
      <t xml:space="preserve">(500) </t>
    </r>
    <r>
      <rPr>
        <sz val="10"/>
        <rFont val="Noto Sans CJK SC"/>
        <family val="2"/>
      </rPr>
      <t xml:space="preserve">대비 소진율</t>
    </r>
  </si>
  <si>
    <r>
      <rPr>
        <sz val="9"/>
        <color rgb="FF6B6B6B"/>
        <rFont val="Noto Sans CJK SC"/>
        <family val="2"/>
      </rPr>
      <t xml:space="preserve">사전 등록만으로 상한의 몇 </t>
    </r>
    <r>
      <rPr>
        <sz val="9"/>
        <color rgb="FF6B6B6B"/>
        <rFont val="맑은 고딕"/>
        <family val="0"/>
        <charset val="1"/>
      </rPr>
      <t xml:space="preserve">%</t>
    </r>
    <r>
      <rPr>
        <sz val="9"/>
        <color rgb="FF6B6B6B"/>
        <rFont val="Noto Sans CJK SC"/>
        <family val="2"/>
      </rPr>
      <t xml:space="preserve">를 채우는가</t>
    </r>
  </si>
  <si>
    <t xml:space="preserve">판단 참고</t>
  </si>
  <si>
    <r>
      <rPr>
        <sz val="9"/>
        <color rgb="FF1A1A1A"/>
        <rFont val="Noto Sans CJK SC"/>
        <family val="2"/>
      </rPr>
      <t xml:space="preserve">① 부여 시 — 혁신팀 </t>
    </r>
    <r>
      <rPr>
        <sz val="9"/>
        <color rgb="FF1A1A1A"/>
        <rFont val="맑은 고딕"/>
        <family val="0"/>
        <charset val="1"/>
      </rPr>
      <t xml:space="preserve">16</t>
    </r>
    <r>
      <rPr>
        <sz val="9"/>
        <color rgb="FF1A1A1A"/>
        <rFont val="Noto Sans CJK SC"/>
        <family val="2"/>
      </rPr>
      <t xml:space="preserve">명이 런칭 첫 달 상위권을 차지할 가능성이 높다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</si>
  <si>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sz val="9"/>
        <color rgb="FF6B6B6B"/>
        <rFont val="Noto Sans CJK SC"/>
        <family val="2"/>
      </rPr>
      <t xml:space="preserve">   사전 등록은 </t>
    </r>
    <r>
      <rPr>
        <sz val="9"/>
        <color rgb="FF6B6B6B"/>
        <rFont val="맑은 고딕"/>
        <family val="0"/>
        <charset val="1"/>
      </rPr>
      <t xml:space="preserve">'</t>
    </r>
    <r>
      <rPr>
        <sz val="9"/>
        <color rgb="FF6B6B6B"/>
        <rFont val="Noto Sans CJK SC"/>
        <family val="2"/>
      </rPr>
      <t xml:space="preserve">플랫폼 준비 작업</t>
    </r>
    <r>
      <rPr>
        <sz val="9"/>
        <color rgb="FF6B6B6B"/>
        <rFont val="맑은 고딕"/>
        <family val="0"/>
        <charset val="1"/>
      </rPr>
      <t xml:space="preserve">'</t>
    </r>
    <r>
      <rPr>
        <sz val="9"/>
        <color rgb="FF6B6B6B"/>
        <rFont val="Noto Sans CJK SC"/>
        <family val="2"/>
      </rPr>
      <t xml:space="preserve">이지 자발적 참여가 아니므로</t>
    </r>
    <r>
      <rPr>
        <sz val="9"/>
        <color rgb="FF6B6B6B"/>
        <rFont val="맑은 고딕"/>
        <family val="0"/>
        <charset val="1"/>
      </rPr>
      <t xml:space="preserve">, </t>
    </r>
    <r>
      <rPr>
        <sz val="9"/>
        <color rgb="FF6B6B6B"/>
        <rFont val="Noto Sans CJK SC"/>
        <family val="2"/>
      </rPr>
      <t xml:space="preserve">일반 참여자에게는</t>
    </r>
  </si>
  <si>
    <r>
      <rPr>
        <sz val="9"/>
        <color rgb="FF6B6B6B"/>
        <rFont val="Noto Sans CJK SC"/>
        <family val="2"/>
      </rPr>
      <t xml:space="preserve">   따라잡을 수 없는 격차로 보일 수 있다</t>
    </r>
    <r>
      <rPr>
        <sz val="9"/>
        <color rgb="FF6B6B6B"/>
        <rFont val="맑은 고딕"/>
        <family val="0"/>
        <charset val="1"/>
      </rPr>
      <t xml:space="preserve">.</t>
    </r>
  </si>
  <si>
    <r>
      <rPr>
        <sz val="9"/>
        <color rgb="FF1A1A1A"/>
        <rFont val="Noto Sans CJK SC"/>
        <family val="2"/>
      </rPr>
      <t xml:space="preserve">② 미부여 시 — 사전 등록 협조에 대한 유인이 없다</t>
    </r>
    <r>
      <rPr>
        <sz val="9"/>
        <color rgb="FF1A1A1A"/>
        <rFont val="맑은 고딕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다만 이번 건은 기존 모임의</t>
    </r>
  </si>
  <si>
    <r>
      <rPr>
        <sz val="9"/>
        <color rgb="FF6B6B6B"/>
        <rFont val="Noto Sans CJK SC"/>
        <family val="2"/>
      </rPr>
      <t xml:space="preserve">   축적 자료를 옮기는 작업이어서 추가 부담이 크지 않아</t>
    </r>
    <r>
      <rPr>
        <sz val="9"/>
        <color rgb="FF6B6B6B"/>
        <rFont val="맑은 고딕"/>
        <family val="0"/>
        <charset val="1"/>
      </rPr>
      <t xml:space="preserve">, </t>
    </r>
    <r>
      <rPr>
        <sz val="9"/>
        <color rgb="FF6B6B6B"/>
        <rFont val="Noto Sans CJK SC"/>
        <family val="2"/>
      </rPr>
      <t xml:space="preserve">유인 부재의 영향은 제한적이다</t>
    </r>
    <r>
      <rPr>
        <sz val="9"/>
        <color rgb="FF6B6B6B"/>
        <rFont val="맑은 고딕"/>
        <family val="0"/>
        <charset val="1"/>
      </rPr>
      <t xml:space="preserve">.</t>
    </r>
  </si>
  <si>
    <r>
      <rPr>
        <sz val="9"/>
        <color rgb="FF1A1A1A"/>
        <rFont val="Noto Sans CJK SC"/>
        <family val="2"/>
      </rPr>
      <t xml:space="preserve">③ 절충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운영안 제안</t>
    </r>
    <r>
      <rPr>
        <sz val="9"/>
        <color rgb="FF1A1A1A"/>
        <rFont val="맑은 고딕"/>
        <family val="0"/>
        <charset val="1"/>
      </rPr>
      <t xml:space="preserve">) — </t>
    </r>
    <r>
      <rPr>
        <sz val="9"/>
        <color rgb="FF1A1A1A"/>
        <rFont val="Noto Sans CJK SC"/>
        <family val="2"/>
      </rPr>
      <t xml:space="preserve">크레딧 산정에서는 제외하되 「플랫폼 구축 기여」로 별도 기록하여</t>
    </r>
  </si>
  <si>
    <r>
      <rPr>
        <sz val="9"/>
        <color rgb="FF6B6B6B"/>
        <rFont val="Noto Sans CJK SC"/>
        <family val="2"/>
      </rPr>
      <t xml:space="preserve">   연말 단장 추천 시 근거 자료로 활용한다</t>
    </r>
    <r>
      <rPr>
        <sz val="9"/>
        <color rgb="FF6B6B6B"/>
        <rFont val="맑은 고딕"/>
        <family val="0"/>
        <charset val="1"/>
      </rPr>
      <t xml:space="preserve">.</t>
    </r>
  </si>
  <si>
    <r>
      <rPr>
        <sz val="9"/>
        <color rgb="FF6B6B6B"/>
        <rFont val="Noto Sans CJK SC"/>
        <family val="2"/>
      </rPr>
      <t xml:space="preserve">※ 노란 셀</t>
    </r>
    <r>
      <rPr>
        <sz val="9"/>
        <color rgb="FF6B6B6B"/>
        <rFont val="맑은 고딕"/>
        <family val="0"/>
        <charset val="1"/>
      </rPr>
      <t xml:space="preserve">(</t>
    </r>
    <r>
      <rPr>
        <sz val="9"/>
        <color rgb="FF6B6B6B"/>
        <rFont val="Noto Sans CJK SC"/>
        <family val="2"/>
      </rPr>
      <t xml:space="preserve">가정</t>
    </r>
    <r>
      <rPr>
        <sz val="9"/>
        <color rgb="FF6B6B6B"/>
        <rFont val="맑은 고딕"/>
        <family val="0"/>
        <charset val="1"/>
      </rPr>
      <t xml:space="preserve">)</t>
    </r>
    <r>
      <rPr>
        <sz val="9"/>
        <color rgb="FF6B6B6B"/>
        <rFont val="Noto Sans CJK SC"/>
        <family val="2"/>
      </rPr>
      <t xml:space="preserve">을 바꾸면 비교 수치가 즉시 재계산됩니다</t>
    </r>
    <r>
      <rPr>
        <sz val="9"/>
        <color rgb="FF6B6B6B"/>
        <rFont val="맑은 고딕"/>
        <family val="0"/>
        <charset val="1"/>
      </rPr>
      <t xml:space="preserve">.</t>
    </r>
  </si>
  <si>
    <r>
      <rPr>
        <sz val="9"/>
        <color rgb="FF6B6B6B"/>
        <rFont val="맑은 고딕"/>
        <family val="0"/>
        <charset val="1"/>
      </rPr>
      <t xml:space="preserve">※ '</t>
    </r>
    <r>
      <rPr>
        <sz val="9"/>
        <color rgb="FF6B6B6B"/>
        <rFont val="Noto Sans CJK SC"/>
        <family val="2"/>
      </rPr>
      <t xml:space="preserve">일반 참여자 평균</t>
    </r>
    <r>
      <rPr>
        <sz val="9"/>
        <color rgb="FF6B6B6B"/>
        <rFont val="맑은 고딕"/>
        <family val="0"/>
        <charset val="1"/>
      </rPr>
      <t xml:space="preserve">'</t>
    </r>
    <r>
      <rPr>
        <sz val="9"/>
        <color rgb="FF6B6B6B"/>
        <rFont val="Noto Sans CJK SC"/>
        <family val="2"/>
      </rPr>
      <t xml:space="preserve">은 활동로그의 가상 데이터 기준이므로 참고값입니다</t>
    </r>
    <r>
      <rPr>
        <sz val="9"/>
        <color rgb="FF6B6B6B"/>
        <rFont val="맑은 고딕"/>
        <family val="0"/>
        <charset val="1"/>
      </rPr>
      <t xml:space="preserve">.</t>
    </r>
  </si>
  <si>
    <t xml:space="preserve">시뮬레이션 요약</t>
  </si>
  <si>
    <t xml:space="preserve">설정 시트의 점수 배분을 조정하면서 아래 지표 변화를 확인하십시오.</t>
  </si>
  <si>
    <t xml:space="preserve">판단 기준</t>
  </si>
  <si>
    <t xml:space="preserve">참여자 수 (로그 등재)</t>
  </si>
  <si>
    <t xml:space="preserve">—</t>
  </si>
  <si>
    <t xml:space="preserve">글을 쓴 사람 수</t>
  </si>
  <si>
    <t xml:space="preserve">초기 20~30명이면 정상</t>
  </si>
  <si>
    <t xml:space="preserve">첫 글 보너스 수령자</t>
  </si>
  <si>
    <t xml:space="preserve">많을수록 신규 진입이 활발</t>
  </si>
  <si>
    <t xml:space="preserve">전체 크레딧 총량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</si>
  <si>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평균</t>
    </r>
  </si>
  <si>
    <t xml:space="preserve">최고 점수</t>
  </si>
  <si>
    <t xml:space="preserve">월 상한 도달자</t>
  </si>
  <si>
    <r>
      <rPr>
        <sz val="9"/>
        <color rgb="FF6B6B6B"/>
        <rFont val="맑은 고딕"/>
        <family val="0"/>
        <charset val="1"/>
      </rPr>
      <t xml:space="preserve">0~2</t>
    </r>
    <r>
      <rPr>
        <sz val="9"/>
        <color rgb="FF6B6B6B"/>
        <rFont val="Noto Sans CJK SC"/>
        <family val="2"/>
      </rPr>
      <t xml:space="preserve">명이 적정 </t>
    </r>
    <r>
      <rPr>
        <sz val="9"/>
        <color rgb="FF6B6B6B"/>
        <rFont val="맑은 고딕"/>
        <family val="0"/>
        <charset val="1"/>
      </rPr>
      <t xml:space="preserve">· 3</t>
    </r>
    <r>
      <rPr>
        <sz val="9"/>
        <color rgb="FF6B6B6B"/>
        <rFont val="Noto Sans CJK SC"/>
        <family val="2"/>
      </rPr>
      <t xml:space="preserve">명 이상이면 상한 상향 검토</t>
    </r>
  </si>
  <si>
    <t xml:space="preserve">상위 3인 점유율</t>
  </si>
  <si>
    <r>
      <rPr>
        <sz val="9"/>
        <color rgb="FF6B6B6B"/>
        <rFont val="맑은 고딕"/>
        <family val="0"/>
        <charset val="1"/>
      </rPr>
      <t xml:space="preserve">40% </t>
    </r>
    <r>
      <rPr>
        <sz val="9"/>
        <color rgb="FF6B6B6B"/>
        <rFont val="Noto Sans CJK SC"/>
        <family val="2"/>
      </rPr>
      <t xml:space="preserve">초과 시 독점 우려</t>
    </r>
  </si>
  <si>
    <t xml:space="preserve">첫글보너스 비중</t>
  </si>
  <si>
    <r>
      <rPr>
        <sz val="9"/>
        <color rgb="FF6B6B6B"/>
        <rFont val="맑은 고딕"/>
        <family val="0"/>
        <charset val="1"/>
      </rPr>
      <t xml:space="preserve">30% </t>
    </r>
    <r>
      <rPr>
        <sz val="9"/>
        <color rgb="FF6B6B6B"/>
        <rFont val="Noto Sans CJK SC"/>
        <family val="2"/>
      </rPr>
      <t xml:space="preserve">초과 시 보너스 과다 검토</t>
    </r>
  </si>
  <si>
    <t xml:space="preserve">대표 유형 비교 (회의 설명용)</t>
  </si>
  <si>
    <t xml:space="preserve">활동 요약</t>
  </si>
  <si>
    <t xml:space="preserve">작성자 A · 우수 생산자</t>
  </si>
  <si>
    <t xml:space="preserve">글 3 · 좋아요 45 · 위키 2</t>
  </si>
  <si>
    <t xml:space="preserve">고품질 다수 반응 — 최상위</t>
  </si>
  <si>
    <t xml:space="preserve">작성자 B · 다작형</t>
  </si>
  <si>
    <t xml:space="preserve">글 15 · 좋아요 20 · 위키 1</t>
  </si>
  <si>
    <t xml:space="preserve">물량 대비 효율 낮음</t>
  </si>
  <si>
    <t xml:space="preserve">작성자 C · 신규 진입자</t>
  </si>
  <si>
    <t xml:space="preserve">글 1 · 좋아요 18 · 첫글</t>
  </si>
  <si>
    <t xml:space="preserve">첫글 보너스로 진입 유인 확보</t>
  </si>
  <si>
    <t xml:space="preserve">작성자 D · 교육 중심</t>
  </si>
  <si>
    <t xml:space="preserve">교육 3회 · 타부서 지원 1</t>
  </si>
  <si>
    <r>
      <rPr>
        <sz val="9"/>
        <color rgb="FF6B6B6B"/>
        <rFont val="맑은 고딕"/>
        <family val="0"/>
        <charset val="1"/>
      </rPr>
      <t xml:space="preserve">S-Credit </t>
    </r>
    <r>
      <rPr>
        <sz val="9"/>
        <color rgb="FF6B6B6B"/>
        <rFont val="Noto Sans CJK SC"/>
        <family val="2"/>
      </rPr>
      <t xml:space="preserve">비중이 큰 유형</t>
    </r>
  </si>
  <si>
    <t xml:space="preserve">열람자 E · 열람 전용</t>
  </si>
  <si>
    <t xml:space="preserve">글 0 · 좋아요 21회 누름</t>
  </si>
  <si>
    <t xml:space="preserve">소액이나 참여 자체를 인정</t>
  </si>
  <si>
    <t xml:space="preserve">회의에서 확인할 논점</t>
  </si>
  <si>
    <t xml:space="preserve">① 첫 글 보너스 점수 — 설정 시트 C8 을 50 → 20 으로 낮추면 신규 진입자(작성자 C) 점수와</t>
  </si>
  <si>
    <r>
      <rPr>
        <sz val="9"/>
        <color rgb="FF6B6B6B"/>
        <rFont val="맑은 고딕"/>
        <family val="0"/>
        <charset val="1"/>
      </rPr>
      <t xml:space="preserve">   '</t>
    </r>
    <r>
      <rPr>
        <sz val="9"/>
        <color rgb="FF6B6B6B"/>
        <rFont val="Noto Sans CJK SC"/>
        <family val="2"/>
      </rPr>
      <t xml:space="preserve">첫글보너스 비중</t>
    </r>
    <r>
      <rPr>
        <sz val="9"/>
        <color rgb="FF6B6B6B"/>
        <rFont val="맑은 고딕"/>
        <family val="0"/>
        <charset val="1"/>
      </rPr>
      <t xml:space="preserve">' </t>
    </r>
    <r>
      <rPr>
        <sz val="9"/>
        <color rgb="FF6B6B6B"/>
        <rFont val="Noto Sans CJK SC"/>
        <family val="2"/>
      </rPr>
      <t xml:space="preserve">지표가 어떻게 변하는지 확인</t>
    </r>
    <r>
      <rPr>
        <sz val="9"/>
        <color rgb="FF6B6B6B"/>
        <rFont val="맑은 고딕"/>
        <family val="0"/>
        <charset val="1"/>
      </rPr>
      <t xml:space="preserve">. </t>
    </r>
    <r>
      <rPr>
        <sz val="9"/>
        <color rgb="FF6B6B6B"/>
        <rFont val="Noto Sans CJK SC"/>
        <family val="2"/>
      </rPr>
      <t xml:space="preserve">현재 비중이 </t>
    </r>
    <r>
      <rPr>
        <sz val="9"/>
        <color rgb="FF6B6B6B"/>
        <rFont val="맑은 고딕"/>
        <family val="0"/>
        <charset val="1"/>
      </rPr>
      <t xml:space="preserve">30%</t>
    </r>
    <r>
      <rPr>
        <sz val="9"/>
        <color rgb="FF6B6B6B"/>
        <rFont val="Noto Sans CJK SC"/>
        <family val="2"/>
      </rPr>
      <t xml:space="preserve">를 넘으면 보너스 과다</t>
    </r>
    <r>
      <rPr>
        <sz val="9"/>
        <color rgb="FF6B6B6B"/>
        <rFont val="맑은 고딕"/>
        <family val="0"/>
        <charset val="1"/>
      </rPr>
      <t xml:space="preserve">.</t>
    </r>
  </si>
  <si>
    <t xml:space="preserve">② 다작 대비 품질 — 현재 배분에서는 글 3건(작성자 A)과 글 15건(작성자 B)의 점수 차이가 크지 않다.</t>
  </si>
  <si>
    <t xml:space="preserve">   글 작성 점수를 낮추고 위키 전환 점수를 올리면 품질 쪽으로 기운다.</t>
  </si>
  <si>
    <t xml:space="preserve">③ 월 상한 수준 — 상한 도달자가 0명이면 상한이 사실상 작동하지 않는 것이다.</t>
  </si>
  <si>
    <t xml:space="preserve">   실제 로그가 쌓인 뒤 상위권 분포를 보고 재조정한다.</t>
  </si>
  <si>
    <t xml:space="preserve">④ 열람 전용 참여(열람자 E) — 글 없이 좋아요만 눌러도 점수가 쌓인다. 이 수준이 적정한지 판단 필요.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</si>
</sst>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Noto Sans CJK SC"/>
      <family val="2"/>
      <charset val="1"/>
    </font>
    <font>
      <sz val="10"/>
      <color rgb="FF6B6B6B"/>
      <name val="Noto Sans CJK SC"/>
      <family val="2"/>
      <charset val="1"/>
    </font>
    <font>
      <b val="true"/>
      <sz val="12"/>
      <color rgb="FF1A1A1A"/>
      <name val="맑은 고딕"/>
      <family val="0"/>
      <charset val="1"/>
    </font>
    <font>
      <b val="true"/>
      <sz val="12"/>
      <color rgb="FF1A1A1A"/>
      <name val="Noto Sans CJK SC"/>
      <family val="2"/>
    </font>
    <font>
      <b val="true"/>
      <sz val="10"/>
      <color rgb="FF1A1A1A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0000FF"/>
      <name val="Arial"/>
      <family val="0"/>
      <charset val="1"/>
    </font>
    <font>
      <sz val="9"/>
      <color rgb="FF6B6B6B"/>
      <name val="Noto Sans CJK SC"/>
      <family val="2"/>
      <charset val="1"/>
    </font>
    <font>
      <b val="true"/>
      <sz val="12"/>
      <color rgb="FF1A1A1A"/>
      <name val="Noto Sans CJK SC"/>
      <family val="2"/>
      <charset val="1"/>
    </font>
    <font>
      <sz val="9"/>
      <color rgb="FF6B6B6B"/>
      <name val="맑은 고딕"/>
      <family val="0"/>
      <charset val="1"/>
    </font>
    <font>
      <sz val="9"/>
      <color rgb="FF6B6B6B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10"/>
      <color rgb="FF6B6B6B"/>
      <name val="맑은 고딕"/>
      <family val="0"/>
      <charset val="1"/>
    </font>
    <font>
      <sz val="10"/>
      <color rgb="FF6B6B6B"/>
      <name val="Noto Sans CJK SC"/>
      <family val="2"/>
    </font>
    <font>
      <b val="true"/>
      <sz val="10"/>
      <color rgb="FF1A1A1A"/>
      <name val="맑은 고딕"/>
      <family val="0"/>
      <charset val="1"/>
    </font>
    <font>
      <sz val="10"/>
      <name val="맑은 고딕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7A1F3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6"/>
      <color rgb="FF1A1A1A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1"/>
      <color rgb="FF7A1F30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A1A1A"/>
      <name val="Noto Sans CJK SC"/>
      <family val="2"/>
    </font>
    <font>
      <sz val="9"/>
      <color rgb="FF1A1A1A"/>
      <name val="맑은 고딕"/>
      <family val="0"/>
      <charset val="1"/>
    </font>
    <font>
      <sz val="9"/>
      <name val="Noto Sans CJK SC"/>
      <family val="2"/>
      <charset val="1"/>
    </font>
    <font>
      <sz val="9"/>
      <color rgb="FF1A1A1A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EFF0"/>
        <bgColor rgb="FFFFF7CC"/>
      </patternFill>
    </fill>
    <fill>
      <patternFill patternType="solid">
        <fgColor rgb="FFFFF7CC"/>
        <bgColor rgb="FFF2EF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EF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7A1F3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46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8.7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</row>
    <row r="7" customFormat="false" ht="15" hidden="false" customHeight="true" outlineLevel="0" collapsed="false">
      <c r="B7" s="6" t="s">
        <v>6</v>
      </c>
      <c r="C7" s="7" t="n">
        <v>10</v>
      </c>
      <c r="D7" s="8" t="s">
        <v>7</v>
      </c>
    </row>
    <row r="8" customFormat="false" ht="15" hidden="false" customHeight="true" outlineLevel="0" collapsed="false">
      <c r="B8" s="6" t="s">
        <v>8</v>
      </c>
      <c r="C8" s="7" t="n">
        <v>50</v>
      </c>
      <c r="D8" s="8" t="s">
        <v>9</v>
      </c>
    </row>
    <row r="9" customFormat="false" ht="15" hidden="false" customHeight="true" outlineLevel="0" collapsed="false">
      <c r="B9" s="6" t="s">
        <v>10</v>
      </c>
      <c r="C9" s="7" t="n">
        <v>3</v>
      </c>
      <c r="D9" s="8" t="s">
        <v>11</v>
      </c>
    </row>
    <row r="10" customFormat="false" ht="15" hidden="false" customHeight="true" outlineLevel="0" collapsed="false">
      <c r="B10" s="6" t="s">
        <v>12</v>
      </c>
      <c r="C10" s="7" t="n">
        <v>1</v>
      </c>
      <c r="D10" s="8" t="s">
        <v>13</v>
      </c>
    </row>
    <row r="11" customFormat="false" ht="15" hidden="false" customHeight="true" outlineLevel="0" collapsed="false">
      <c r="B11" s="6" t="s">
        <v>14</v>
      </c>
      <c r="C11" s="7" t="n">
        <v>1</v>
      </c>
      <c r="D11" s="8" t="s">
        <v>15</v>
      </c>
    </row>
    <row r="12" customFormat="false" ht="15" hidden="false" customHeight="true" outlineLevel="0" collapsed="false">
      <c r="B12" s="6" t="s">
        <v>16</v>
      </c>
      <c r="C12" s="7" t="n">
        <v>30</v>
      </c>
      <c r="D12" s="8" t="s">
        <v>17</v>
      </c>
    </row>
    <row r="13" customFormat="false" ht="15" hidden="false" customHeight="true" outlineLevel="0" collapsed="false">
      <c r="B13" s="6" t="s">
        <v>18</v>
      </c>
      <c r="C13" s="7" t="n">
        <v>10</v>
      </c>
      <c r="D13" s="8" t="s">
        <v>19</v>
      </c>
    </row>
    <row r="16" customFormat="false" ht="18.75" hidden="false" customHeight="true" outlineLevel="0" collapsed="false">
      <c r="B16" s="4" t="s">
        <v>20</v>
      </c>
    </row>
    <row r="17" customFormat="false" ht="15" hidden="false" customHeight="true" outlineLevel="0" collapsed="false">
      <c r="B17" s="5" t="s">
        <v>3</v>
      </c>
      <c r="C17" s="5" t="s">
        <v>4</v>
      </c>
      <c r="D17" s="5" t="s">
        <v>5</v>
      </c>
    </row>
    <row r="18" customFormat="false" ht="15" hidden="false" customHeight="true" outlineLevel="0" collapsed="false">
      <c r="B18" s="6" t="s">
        <v>21</v>
      </c>
      <c r="C18" s="7" t="n">
        <v>30</v>
      </c>
      <c r="D18" s="8" t="s">
        <v>22</v>
      </c>
    </row>
    <row r="19" customFormat="false" ht="15" hidden="false" customHeight="true" outlineLevel="0" collapsed="false">
      <c r="B19" s="6" t="s">
        <v>23</v>
      </c>
      <c r="C19" s="7" t="n">
        <v>50</v>
      </c>
      <c r="D19" s="8" t="s">
        <v>24</v>
      </c>
    </row>
    <row r="22" customFormat="false" ht="15" hidden="false" customHeight="true" outlineLevel="0" collapsed="false">
      <c r="B22" s="9" t="s">
        <v>25</v>
      </c>
    </row>
    <row r="23" customFormat="false" ht="15" hidden="false" customHeight="true" outlineLevel="0" collapsed="false">
      <c r="B23" s="5" t="s">
        <v>26</v>
      </c>
      <c r="C23" s="5" t="s">
        <v>27</v>
      </c>
      <c r="D23" s="5" t="s">
        <v>28</v>
      </c>
    </row>
    <row r="24" customFormat="false" ht="15" hidden="false" customHeight="true" outlineLevel="0" collapsed="false">
      <c r="B24" s="6" t="s">
        <v>29</v>
      </c>
      <c r="C24" s="7" t="n">
        <v>500</v>
      </c>
      <c r="D24" s="8" t="s">
        <v>30</v>
      </c>
    </row>
    <row r="25" customFormat="false" ht="15" hidden="false" customHeight="true" outlineLevel="0" collapsed="false">
      <c r="B25" s="6" t="s">
        <v>31</v>
      </c>
      <c r="C25" s="7" t="n">
        <v>3</v>
      </c>
      <c r="D25" s="8" t="s">
        <v>32</v>
      </c>
    </row>
    <row r="28" customFormat="false" ht="15" hidden="false" customHeight="true" outlineLevel="0" collapsed="false">
      <c r="B28" s="9" t="s">
        <v>33</v>
      </c>
    </row>
    <row r="29" customFormat="false" ht="15" hidden="false" customHeight="true" outlineLevel="0" collapsed="false">
      <c r="B29" s="5" t="s">
        <v>26</v>
      </c>
      <c r="C29" s="5" t="s">
        <v>27</v>
      </c>
      <c r="D29" s="5" t="s">
        <v>28</v>
      </c>
    </row>
    <row r="30" customFormat="false" ht="15" hidden="false" customHeight="true" outlineLevel="0" collapsed="false">
      <c r="B30" s="6" t="s">
        <v>34</v>
      </c>
      <c r="C30" s="7" t="n">
        <v>500</v>
      </c>
      <c r="D30" s="10" t="s">
        <v>35</v>
      </c>
    </row>
    <row r="31" customFormat="false" ht="15" hidden="false" customHeight="true" outlineLevel="0" collapsed="false">
      <c r="B31" s="6" t="s">
        <v>36</v>
      </c>
      <c r="C31" s="7" t="n">
        <v>25</v>
      </c>
      <c r="D31" s="8" t="s">
        <v>37</v>
      </c>
    </row>
    <row r="32" customFormat="false" ht="15" hidden="false" customHeight="true" outlineLevel="0" collapsed="false">
      <c r="B32" s="6" t="s">
        <v>38</v>
      </c>
      <c r="C32" s="7" t="n">
        <v>120</v>
      </c>
      <c r="D32" s="8" t="s">
        <v>39</v>
      </c>
    </row>
    <row r="34" customFormat="false" ht="15" hidden="false" customHeight="true" outlineLevel="0" collapsed="false">
      <c r="B34" s="3" t="s">
        <v>40</v>
      </c>
    </row>
    <row r="35" customFormat="false" ht="15" hidden="false" customHeight="true" outlineLevel="0" collapsed="false">
      <c r="B35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2" min="11" style="1" width="10"/>
    <col collapsed="false" customWidth="true" hidden="false" outlineLevel="0" max="13" min="13" style="1" width="11"/>
    <col collapsed="false" customWidth="true" hidden="false" outlineLevel="0" max="14" min="14" style="1" width="34"/>
  </cols>
  <sheetData>
    <row r="2" customFormat="false" ht="23.25" hidden="false" customHeight="true" outlineLevel="0" collapsed="false">
      <c r="B2" s="2" t="s">
        <v>42</v>
      </c>
    </row>
    <row r="3" customFormat="false" ht="15" hidden="false" customHeight="true" outlineLevel="0" collapsed="false">
      <c r="B3" s="11" t="s">
        <v>43</v>
      </c>
    </row>
    <row r="5" customFormat="false" ht="15" hidden="false" customHeight="true" outlineLevel="0" collapsed="false">
      <c r="B5" s="12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L5" s="5" t="s">
        <v>54</v>
      </c>
      <c r="M5" s="5" t="s">
        <v>55</v>
      </c>
      <c r="N5" s="5" t="s">
        <v>28</v>
      </c>
    </row>
    <row r="6" customFormat="false" ht="15" hidden="false" customHeight="true" outlineLevel="0" collapsed="false">
      <c r="B6" s="13" t="s">
        <v>56</v>
      </c>
      <c r="C6" s="6" t="s">
        <v>57</v>
      </c>
      <c r="D6" s="6" t="s">
        <v>58</v>
      </c>
      <c r="E6" s="14" t="n">
        <v>3</v>
      </c>
      <c r="F6" s="14" t="n">
        <v>1</v>
      </c>
      <c r="G6" s="14" t="n">
        <v>12</v>
      </c>
      <c r="H6" s="14" t="n">
        <v>45</v>
      </c>
      <c r="I6" s="14" t="n">
        <v>25</v>
      </c>
      <c r="J6" s="14" t="n">
        <v>2</v>
      </c>
      <c r="K6" s="14" t="n">
        <v>3</v>
      </c>
      <c r="L6" s="14" t="n">
        <v>0</v>
      </c>
      <c r="M6" s="14" t="n">
        <v>0</v>
      </c>
      <c r="N6" s="6" t="s">
        <v>59</v>
      </c>
    </row>
    <row r="7" customFormat="false" ht="15" hidden="false" customHeight="true" outlineLevel="0" collapsed="false">
      <c r="B7" s="13" t="s">
        <v>60</v>
      </c>
      <c r="C7" s="6" t="s">
        <v>61</v>
      </c>
      <c r="D7" s="6" t="s">
        <v>62</v>
      </c>
      <c r="E7" s="14" t="n">
        <v>15</v>
      </c>
      <c r="F7" s="14" t="n">
        <v>1</v>
      </c>
      <c r="G7" s="14" t="n">
        <v>5</v>
      </c>
      <c r="H7" s="14" t="n">
        <v>20</v>
      </c>
      <c r="I7" s="14" t="n">
        <v>10</v>
      </c>
      <c r="J7" s="14" t="n">
        <v>1</v>
      </c>
      <c r="K7" s="14" t="n">
        <v>0</v>
      </c>
      <c r="L7" s="14" t="n">
        <v>0</v>
      </c>
      <c r="M7" s="14" t="n">
        <v>0</v>
      </c>
      <c r="N7" s="6" t="s">
        <v>63</v>
      </c>
    </row>
    <row r="8" customFormat="false" ht="15" hidden="false" customHeight="true" outlineLevel="0" collapsed="false">
      <c r="B8" s="13" t="s">
        <v>64</v>
      </c>
      <c r="C8" s="6" t="s">
        <v>65</v>
      </c>
      <c r="D8" s="6" t="s">
        <v>66</v>
      </c>
      <c r="E8" s="14" t="n">
        <v>1</v>
      </c>
      <c r="F8" s="14" t="n">
        <v>1</v>
      </c>
      <c r="G8" s="14" t="n">
        <v>2</v>
      </c>
      <c r="H8" s="14" t="n">
        <v>18</v>
      </c>
      <c r="I8" s="14" t="n">
        <v>5</v>
      </c>
      <c r="J8" s="14" t="n">
        <v>1</v>
      </c>
      <c r="K8" s="14" t="n">
        <v>0</v>
      </c>
      <c r="L8" s="14" t="n">
        <v>0</v>
      </c>
      <c r="M8" s="14" t="n">
        <v>0</v>
      </c>
      <c r="N8" s="6" t="s">
        <v>67</v>
      </c>
    </row>
    <row r="9" customFormat="false" ht="15" hidden="false" customHeight="true" outlineLevel="0" collapsed="false">
      <c r="B9" s="13" t="s">
        <v>68</v>
      </c>
      <c r="C9" s="6" t="s">
        <v>69</v>
      </c>
      <c r="D9" s="6" t="s">
        <v>70</v>
      </c>
      <c r="E9" s="14" t="n">
        <v>2</v>
      </c>
      <c r="F9" s="14" t="n">
        <v>1</v>
      </c>
      <c r="G9" s="14" t="n">
        <v>8</v>
      </c>
      <c r="H9" s="14" t="n">
        <v>15</v>
      </c>
      <c r="I9" s="14" t="n">
        <v>30</v>
      </c>
      <c r="J9" s="14" t="n">
        <v>1</v>
      </c>
      <c r="K9" s="14" t="n">
        <v>1</v>
      </c>
      <c r="L9" s="14" t="n">
        <v>3</v>
      </c>
      <c r="M9" s="14" t="n">
        <v>1</v>
      </c>
      <c r="N9" s="6" t="s">
        <v>71</v>
      </c>
    </row>
    <row r="10" customFormat="false" ht="15" hidden="false" customHeight="true" outlineLevel="0" collapsed="false">
      <c r="B10" s="13" t="s">
        <v>72</v>
      </c>
      <c r="C10" s="6" t="s">
        <v>73</v>
      </c>
      <c r="D10" s="6" t="s">
        <v>74</v>
      </c>
      <c r="E10" s="14" t="n">
        <v>0</v>
      </c>
      <c r="F10" s="14" t="n">
        <v>0</v>
      </c>
      <c r="G10" s="14" t="n">
        <v>6</v>
      </c>
      <c r="H10" s="14" t="n">
        <v>0</v>
      </c>
      <c r="I10" s="14" t="n">
        <v>21</v>
      </c>
      <c r="J10" s="14" t="n">
        <v>0</v>
      </c>
      <c r="K10" s="14" t="n">
        <v>0</v>
      </c>
      <c r="L10" s="14" t="n">
        <v>0</v>
      </c>
      <c r="M10" s="14" t="n">
        <v>0</v>
      </c>
      <c r="N10" s="6" t="s">
        <v>75</v>
      </c>
    </row>
    <row r="11" customFormat="false" ht="15" hidden="false" customHeight="true" outlineLevel="0" collapsed="false">
      <c r="B11" s="13" t="s">
        <v>76</v>
      </c>
      <c r="C11" s="6" t="s">
        <v>77</v>
      </c>
      <c r="D11" s="6" t="s">
        <v>78</v>
      </c>
      <c r="E11" s="14" t="n">
        <v>1</v>
      </c>
      <c r="F11" s="14" t="n">
        <v>1</v>
      </c>
      <c r="G11" s="14" t="n">
        <v>1</v>
      </c>
      <c r="H11" s="14" t="n">
        <v>6</v>
      </c>
      <c r="I11" s="14" t="n">
        <v>20</v>
      </c>
      <c r="J11" s="14" t="n">
        <v>0</v>
      </c>
      <c r="K11" s="14" t="n">
        <v>0</v>
      </c>
      <c r="L11" s="14" t="n">
        <v>0</v>
      </c>
      <c r="M11" s="14" t="n">
        <v>0</v>
      </c>
      <c r="N11" s="6"/>
    </row>
    <row r="12" customFormat="false" ht="15" hidden="false" customHeight="true" outlineLevel="0" collapsed="false">
      <c r="B12" s="13" t="s">
        <v>79</v>
      </c>
      <c r="C12" s="6" t="s">
        <v>80</v>
      </c>
      <c r="D12" s="6" t="s">
        <v>78</v>
      </c>
      <c r="E12" s="14" t="n">
        <v>1</v>
      </c>
      <c r="F12" s="14" t="n">
        <v>1</v>
      </c>
      <c r="G12" s="14" t="n">
        <v>4</v>
      </c>
      <c r="H12" s="14" t="n">
        <v>0</v>
      </c>
      <c r="I12" s="14" t="n">
        <v>16</v>
      </c>
      <c r="J12" s="14" t="n">
        <v>0</v>
      </c>
      <c r="K12" s="14" t="n">
        <v>0</v>
      </c>
      <c r="L12" s="14" t="n">
        <v>0</v>
      </c>
      <c r="M12" s="14" t="n">
        <v>0</v>
      </c>
      <c r="N12" s="6"/>
    </row>
    <row r="13" customFormat="false" ht="15" hidden="false" customHeight="true" outlineLevel="0" collapsed="false">
      <c r="B13" s="13" t="s">
        <v>81</v>
      </c>
      <c r="C13" s="6" t="s">
        <v>82</v>
      </c>
      <c r="D13" s="6" t="s">
        <v>78</v>
      </c>
      <c r="E13" s="14" t="n">
        <v>2</v>
      </c>
      <c r="F13" s="14" t="n">
        <v>1</v>
      </c>
      <c r="G13" s="14" t="n">
        <v>3</v>
      </c>
      <c r="H13" s="14" t="n">
        <v>2</v>
      </c>
      <c r="I13" s="14" t="n">
        <v>7</v>
      </c>
      <c r="J13" s="14" t="n">
        <v>0</v>
      </c>
      <c r="K13" s="14" t="n">
        <v>1</v>
      </c>
      <c r="L13" s="14" t="n">
        <v>1</v>
      </c>
      <c r="M13" s="14" t="n">
        <v>0</v>
      </c>
      <c r="N13" s="6"/>
    </row>
    <row r="14" customFormat="false" ht="15" hidden="false" customHeight="true" outlineLevel="0" collapsed="false">
      <c r="B14" s="13" t="s">
        <v>83</v>
      </c>
      <c r="C14" s="6" t="s">
        <v>84</v>
      </c>
      <c r="D14" s="6" t="s">
        <v>78</v>
      </c>
      <c r="E14" s="14" t="n">
        <v>0</v>
      </c>
      <c r="F14" s="14" t="n">
        <v>0</v>
      </c>
      <c r="G14" s="14" t="n">
        <v>6</v>
      </c>
      <c r="H14" s="14" t="n">
        <v>0</v>
      </c>
      <c r="I14" s="14" t="n">
        <v>18</v>
      </c>
      <c r="J14" s="14" t="n">
        <v>0</v>
      </c>
      <c r="K14" s="14" t="n">
        <v>0</v>
      </c>
      <c r="L14" s="14" t="n">
        <v>0</v>
      </c>
      <c r="M14" s="14" t="n">
        <v>0</v>
      </c>
      <c r="N14" s="6"/>
    </row>
    <row r="15" customFormat="false" ht="15" hidden="false" customHeight="true" outlineLevel="0" collapsed="false">
      <c r="B15" s="13" t="s">
        <v>85</v>
      </c>
      <c r="C15" s="6" t="s">
        <v>86</v>
      </c>
      <c r="D15" s="6" t="s">
        <v>78</v>
      </c>
      <c r="E15" s="14" t="n">
        <v>1</v>
      </c>
      <c r="F15" s="14" t="n">
        <v>1</v>
      </c>
      <c r="G15" s="14" t="n">
        <v>5</v>
      </c>
      <c r="H15" s="14" t="n">
        <v>0</v>
      </c>
      <c r="I15" s="14" t="n">
        <v>18</v>
      </c>
      <c r="J15" s="14" t="n">
        <v>1</v>
      </c>
      <c r="K15" s="14" t="n">
        <v>0</v>
      </c>
      <c r="L15" s="14" t="n">
        <v>0</v>
      </c>
      <c r="M15" s="14" t="n">
        <v>0</v>
      </c>
      <c r="N15" s="6"/>
    </row>
    <row r="16" customFormat="false" ht="15" hidden="false" customHeight="true" outlineLevel="0" collapsed="false">
      <c r="B16" s="13" t="s">
        <v>87</v>
      </c>
      <c r="C16" s="6" t="s">
        <v>88</v>
      </c>
      <c r="D16" s="6" t="s">
        <v>78</v>
      </c>
      <c r="E16" s="14" t="n">
        <v>0</v>
      </c>
      <c r="F16" s="14" t="n">
        <v>0</v>
      </c>
      <c r="G16" s="14" t="n">
        <v>4</v>
      </c>
      <c r="H16" s="14" t="n">
        <v>0</v>
      </c>
      <c r="I16" s="14" t="n">
        <v>4</v>
      </c>
      <c r="J16" s="14" t="n">
        <v>0</v>
      </c>
      <c r="K16" s="14" t="n">
        <v>0</v>
      </c>
      <c r="L16" s="14" t="n">
        <v>0</v>
      </c>
      <c r="M16" s="14" t="n">
        <v>0</v>
      </c>
      <c r="N16" s="6"/>
    </row>
    <row r="17" customFormat="false" ht="15" hidden="false" customHeight="true" outlineLevel="0" collapsed="false">
      <c r="B17" s="13" t="s">
        <v>89</v>
      </c>
      <c r="C17" s="6" t="s">
        <v>90</v>
      </c>
      <c r="D17" s="6" t="s">
        <v>78</v>
      </c>
      <c r="E17" s="14" t="n">
        <v>2</v>
      </c>
      <c r="F17" s="14" t="n">
        <v>1</v>
      </c>
      <c r="G17" s="14" t="n">
        <v>1</v>
      </c>
      <c r="H17" s="14" t="n">
        <v>3</v>
      </c>
      <c r="I17" s="14" t="n">
        <v>18</v>
      </c>
      <c r="J17" s="14" t="n">
        <v>0</v>
      </c>
      <c r="K17" s="14" t="n">
        <v>1</v>
      </c>
      <c r="L17" s="14" t="n">
        <v>0</v>
      </c>
      <c r="M17" s="14" t="n">
        <v>0</v>
      </c>
      <c r="N17" s="6"/>
    </row>
    <row r="18" customFormat="false" ht="15" hidden="false" customHeight="true" outlineLevel="0" collapsed="false">
      <c r="B18" s="13" t="s">
        <v>91</v>
      </c>
      <c r="C18" s="6" t="s">
        <v>92</v>
      </c>
      <c r="D18" s="6" t="s">
        <v>78</v>
      </c>
      <c r="E18" s="14" t="n">
        <v>0</v>
      </c>
      <c r="F18" s="14" t="n">
        <v>0</v>
      </c>
      <c r="G18" s="14" t="n">
        <v>4</v>
      </c>
      <c r="H18" s="14" t="n">
        <v>0</v>
      </c>
      <c r="I18" s="14" t="n">
        <v>18</v>
      </c>
      <c r="J18" s="14" t="n">
        <v>0</v>
      </c>
      <c r="K18" s="14" t="n">
        <v>0</v>
      </c>
      <c r="L18" s="14" t="n">
        <v>0</v>
      </c>
      <c r="M18" s="14" t="n">
        <v>0</v>
      </c>
      <c r="N18" s="6"/>
    </row>
    <row r="19" customFormat="false" ht="15" hidden="false" customHeight="true" outlineLevel="0" collapsed="false">
      <c r="B19" s="13" t="s">
        <v>93</v>
      </c>
      <c r="C19" s="6" t="s">
        <v>94</v>
      </c>
      <c r="D19" s="6" t="s">
        <v>78</v>
      </c>
      <c r="E19" s="14" t="n">
        <v>1</v>
      </c>
      <c r="F19" s="14" t="n">
        <v>1</v>
      </c>
      <c r="G19" s="14" t="n">
        <v>0</v>
      </c>
      <c r="H19" s="14" t="n">
        <v>8</v>
      </c>
      <c r="I19" s="14" t="n">
        <v>2</v>
      </c>
      <c r="J19" s="14" t="n">
        <v>0</v>
      </c>
      <c r="K19" s="14" t="n">
        <v>1</v>
      </c>
      <c r="L19" s="14" t="n">
        <v>0</v>
      </c>
      <c r="M19" s="14" t="n">
        <v>0</v>
      </c>
      <c r="N19" s="6"/>
    </row>
    <row r="20" customFormat="false" ht="15" hidden="false" customHeight="true" outlineLevel="0" collapsed="false">
      <c r="B20" s="13" t="s">
        <v>95</v>
      </c>
      <c r="C20" s="6" t="s">
        <v>96</v>
      </c>
      <c r="D20" s="6" t="s">
        <v>78</v>
      </c>
      <c r="E20" s="14" t="n">
        <v>2</v>
      </c>
      <c r="F20" s="14" t="n">
        <v>1</v>
      </c>
      <c r="G20" s="14" t="n">
        <v>5</v>
      </c>
      <c r="H20" s="14" t="n">
        <v>13</v>
      </c>
      <c r="I20" s="14" t="n">
        <v>10</v>
      </c>
      <c r="J20" s="14" t="n">
        <v>1</v>
      </c>
      <c r="K20" s="14" t="n">
        <v>1</v>
      </c>
      <c r="L20" s="14" t="n">
        <v>1</v>
      </c>
      <c r="M20" s="14" t="n">
        <v>0</v>
      </c>
      <c r="N20" s="6"/>
    </row>
    <row r="21" customFormat="false" ht="15" hidden="false" customHeight="true" outlineLevel="0" collapsed="false">
      <c r="B21" s="13" t="s">
        <v>97</v>
      </c>
      <c r="C21" s="6" t="s">
        <v>98</v>
      </c>
      <c r="D21" s="6" t="s">
        <v>78</v>
      </c>
      <c r="E21" s="14" t="n">
        <v>1</v>
      </c>
      <c r="F21" s="14" t="n">
        <v>1</v>
      </c>
      <c r="G21" s="14" t="n">
        <v>2</v>
      </c>
      <c r="H21" s="14" t="n">
        <v>3</v>
      </c>
      <c r="I21" s="14" t="n">
        <v>5</v>
      </c>
      <c r="J21" s="14" t="n">
        <v>0</v>
      </c>
      <c r="K21" s="14" t="n">
        <v>0</v>
      </c>
      <c r="L21" s="14" t="n">
        <v>0</v>
      </c>
      <c r="M21" s="14" t="n">
        <v>0</v>
      </c>
      <c r="N21" s="6"/>
    </row>
    <row r="22" customFormat="false" ht="15" hidden="false" customHeight="true" outlineLevel="0" collapsed="false">
      <c r="B22" s="13" t="s">
        <v>99</v>
      </c>
      <c r="C22" s="6" t="s">
        <v>100</v>
      </c>
      <c r="D22" s="6" t="s">
        <v>78</v>
      </c>
      <c r="E22" s="14" t="n">
        <v>2</v>
      </c>
      <c r="F22" s="14" t="n">
        <v>1</v>
      </c>
      <c r="G22" s="14" t="n">
        <v>3</v>
      </c>
      <c r="H22" s="14" t="n">
        <v>10</v>
      </c>
      <c r="I22" s="14" t="n">
        <v>14</v>
      </c>
      <c r="J22" s="14" t="n">
        <v>0</v>
      </c>
      <c r="K22" s="14" t="n">
        <v>1</v>
      </c>
      <c r="L22" s="14" t="n">
        <v>0</v>
      </c>
      <c r="M22" s="14" t="n">
        <v>0</v>
      </c>
      <c r="N22" s="6"/>
    </row>
    <row r="23" customFormat="false" ht="15" hidden="false" customHeight="true" outlineLevel="0" collapsed="false">
      <c r="B23" s="13" t="s">
        <v>101</v>
      </c>
      <c r="C23" s="6" t="s">
        <v>102</v>
      </c>
      <c r="D23" s="6" t="s">
        <v>78</v>
      </c>
      <c r="E23" s="14" t="n">
        <v>0</v>
      </c>
      <c r="F23" s="14" t="n">
        <v>0</v>
      </c>
      <c r="G23" s="14" t="n">
        <v>4</v>
      </c>
      <c r="H23" s="14" t="n">
        <v>0</v>
      </c>
      <c r="I23" s="14" t="n">
        <v>13</v>
      </c>
      <c r="J23" s="14" t="n">
        <v>0</v>
      </c>
      <c r="K23" s="14" t="n">
        <v>0</v>
      </c>
      <c r="L23" s="14" t="n">
        <v>0</v>
      </c>
      <c r="M23" s="14" t="n">
        <v>0</v>
      </c>
      <c r="N23" s="6"/>
    </row>
    <row r="24" customFormat="false" ht="15" hidden="false" customHeight="true" outlineLevel="0" collapsed="false">
      <c r="B24" s="13" t="s">
        <v>103</v>
      </c>
      <c r="C24" s="6" t="s">
        <v>104</v>
      </c>
      <c r="D24" s="6" t="s">
        <v>78</v>
      </c>
      <c r="E24" s="14" t="n">
        <v>1</v>
      </c>
      <c r="F24" s="14" t="n">
        <v>1</v>
      </c>
      <c r="G24" s="14" t="n">
        <v>1</v>
      </c>
      <c r="H24" s="14" t="n">
        <v>7</v>
      </c>
      <c r="I24" s="14" t="n">
        <v>13</v>
      </c>
      <c r="J24" s="14" t="n">
        <v>0</v>
      </c>
      <c r="K24" s="14" t="n">
        <v>1</v>
      </c>
      <c r="L24" s="14" t="n">
        <v>0</v>
      </c>
      <c r="M24" s="14" t="n">
        <v>0</v>
      </c>
      <c r="N24" s="6"/>
    </row>
    <row r="25" customFormat="false" ht="15" hidden="false" customHeight="true" outlineLevel="0" collapsed="false">
      <c r="B25" s="13" t="s">
        <v>105</v>
      </c>
      <c r="C25" s="6" t="s">
        <v>106</v>
      </c>
      <c r="D25" s="6" t="s">
        <v>78</v>
      </c>
      <c r="E25" s="14" t="n">
        <v>2</v>
      </c>
      <c r="F25" s="14" t="n">
        <v>1</v>
      </c>
      <c r="G25" s="14" t="n">
        <v>4</v>
      </c>
      <c r="H25" s="14" t="n">
        <v>10</v>
      </c>
      <c r="I25" s="14" t="n">
        <v>10</v>
      </c>
      <c r="J25" s="14" t="n">
        <v>0</v>
      </c>
      <c r="K25" s="14" t="n">
        <v>1</v>
      </c>
      <c r="L25" s="14" t="n">
        <v>1</v>
      </c>
      <c r="M25" s="14" t="n">
        <v>0</v>
      </c>
      <c r="N25" s="6"/>
    </row>
    <row r="26" customFormat="false" ht="15" hidden="false" customHeight="true" outlineLevel="0" collapsed="false">
      <c r="B26" s="13" t="s">
        <v>107</v>
      </c>
      <c r="C26" s="6" t="s">
        <v>108</v>
      </c>
      <c r="D26" s="6" t="s">
        <v>78</v>
      </c>
      <c r="E26" s="14" t="n">
        <v>2</v>
      </c>
      <c r="F26" s="14" t="n">
        <v>1</v>
      </c>
      <c r="G26" s="14" t="n">
        <v>6</v>
      </c>
      <c r="H26" s="14" t="n">
        <v>14</v>
      </c>
      <c r="I26" s="14" t="n">
        <v>2</v>
      </c>
      <c r="J26" s="14" t="n">
        <v>0</v>
      </c>
      <c r="K26" s="14" t="n">
        <v>0</v>
      </c>
      <c r="L26" s="14" t="n">
        <v>1</v>
      </c>
      <c r="M26" s="14" t="n">
        <v>0</v>
      </c>
      <c r="N26" s="6"/>
    </row>
    <row r="27" customFormat="false" ht="15" hidden="false" customHeight="true" outlineLevel="0" collapsed="false">
      <c r="B27" s="13" t="s">
        <v>109</v>
      </c>
      <c r="C27" s="6" t="s">
        <v>110</v>
      </c>
      <c r="D27" s="6" t="s">
        <v>78</v>
      </c>
      <c r="E27" s="14" t="n">
        <v>3</v>
      </c>
      <c r="F27" s="14" t="n">
        <v>1</v>
      </c>
      <c r="G27" s="14" t="n">
        <v>5</v>
      </c>
      <c r="H27" s="14" t="n">
        <v>2</v>
      </c>
      <c r="I27" s="14" t="n">
        <v>1</v>
      </c>
      <c r="J27" s="14" t="n">
        <v>0</v>
      </c>
      <c r="K27" s="14" t="n">
        <v>1</v>
      </c>
      <c r="L27" s="14" t="n">
        <v>1</v>
      </c>
      <c r="M27" s="14" t="n">
        <v>0</v>
      </c>
      <c r="N27" s="6"/>
    </row>
    <row r="28" customFormat="false" ht="15" hidden="false" customHeight="true" outlineLevel="0" collapsed="false">
      <c r="B28" s="13" t="s">
        <v>111</v>
      </c>
      <c r="C28" s="6" t="s">
        <v>112</v>
      </c>
      <c r="D28" s="6" t="s">
        <v>78</v>
      </c>
      <c r="E28" s="14" t="n">
        <v>1</v>
      </c>
      <c r="F28" s="14" t="n">
        <v>1</v>
      </c>
      <c r="G28" s="14" t="n">
        <v>5</v>
      </c>
      <c r="H28" s="14" t="n">
        <v>6</v>
      </c>
      <c r="I28" s="14" t="n">
        <v>21</v>
      </c>
      <c r="J28" s="14" t="n">
        <v>0</v>
      </c>
      <c r="K28" s="14" t="n">
        <v>0</v>
      </c>
      <c r="L28" s="14" t="n">
        <v>1</v>
      </c>
      <c r="M28" s="14" t="n">
        <v>0</v>
      </c>
      <c r="N28" s="6"/>
    </row>
    <row r="29" customFormat="false" ht="15" hidden="false" customHeight="true" outlineLevel="0" collapsed="false">
      <c r="B29" s="13" t="s">
        <v>113</v>
      </c>
      <c r="C29" s="6" t="s">
        <v>114</v>
      </c>
      <c r="D29" s="6" t="s">
        <v>78</v>
      </c>
      <c r="E29" s="14" t="n">
        <v>1</v>
      </c>
      <c r="F29" s="14" t="n">
        <v>1</v>
      </c>
      <c r="G29" s="14" t="n">
        <v>1</v>
      </c>
      <c r="H29" s="14" t="n">
        <v>1</v>
      </c>
      <c r="I29" s="14" t="n">
        <v>15</v>
      </c>
      <c r="J29" s="14" t="n">
        <v>0</v>
      </c>
      <c r="K29" s="14" t="n">
        <v>0</v>
      </c>
      <c r="L29" s="14" t="n">
        <v>0</v>
      </c>
      <c r="M29" s="14" t="n">
        <v>0</v>
      </c>
      <c r="N29" s="6"/>
    </row>
    <row r="30" customFormat="false" ht="15" hidden="false" customHeight="true" outlineLevel="0" collapsed="false">
      <c r="B30" s="13" t="s">
        <v>115</v>
      </c>
      <c r="C30" s="6" t="s">
        <v>116</v>
      </c>
      <c r="D30" s="6" t="s">
        <v>78</v>
      </c>
      <c r="E30" s="14" t="n">
        <v>1</v>
      </c>
      <c r="F30" s="14" t="n">
        <v>1</v>
      </c>
      <c r="G30" s="14" t="n">
        <v>5</v>
      </c>
      <c r="H30" s="14" t="n">
        <v>3</v>
      </c>
      <c r="I30" s="14" t="n">
        <v>12</v>
      </c>
      <c r="J30" s="14" t="n">
        <v>1</v>
      </c>
      <c r="K30" s="14" t="n">
        <v>0</v>
      </c>
      <c r="L30" s="14" t="n">
        <v>0</v>
      </c>
      <c r="M30" s="14" t="n">
        <v>0</v>
      </c>
      <c r="N30" s="6"/>
    </row>
    <row r="32" customFormat="false" ht="15" hidden="false" customHeight="true" outlineLevel="0" collapsed="false">
      <c r="B32" s="11" t="s">
        <v>117</v>
      </c>
    </row>
    <row r="33" customFormat="false" ht="15" hidden="false" customHeight="true" outlineLevel="0" collapsed="false">
      <c r="B33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9" min="8" style="1" width="12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3" min="12" style="1" width="14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3"/>
  </cols>
  <sheetData>
    <row r="2" customFormat="false" ht="19.5" hidden="false" customHeight="true" outlineLevel="0" collapsed="false">
      <c r="B2" s="2" t="s">
        <v>119</v>
      </c>
    </row>
    <row r="3" customFormat="false" ht="15" hidden="false" customHeight="true" outlineLevel="0" collapsed="false">
      <c r="B3" s="3" t="s">
        <v>120</v>
      </c>
    </row>
    <row r="5" customFormat="false" ht="15" hidden="false" customHeight="true" outlineLevel="0" collapsed="false">
      <c r="B5" s="12" t="s">
        <v>44</v>
      </c>
      <c r="C5" s="5" t="s">
        <v>45</v>
      </c>
      <c r="D5" s="5" t="s">
        <v>46</v>
      </c>
      <c r="E5" s="5" t="s">
        <v>121</v>
      </c>
      <c r="F5" s="5" t="s">
        <v>122</v>
      </c>
      <c r="G5" s="5" t="s">
        <v>123</v>
      </c>
      <c r="H5" s="5" t="s">
        <v>124</v>
      </c>
      <c r="I5" s="5" t="s">
        <v>125</v>
      </c>
      <c r="J5" s="5" t="s">
        <v>126</v>
      </c>
      <c r="K5" s="5" t="s">
        <v>127</v>
      </c>
      <c r="L5" s="12" t="s">
        <v>128</v>
      </c>
      <c r="M5" s="12" t="s">
        <v>129</v>
      </c>
      <c r="N5" s="5" t="s">
        <v>130</v>
      </c>
      <c r="O5" s="5" t="s">
        <v>131</v>
      </c>
      <c r="P5" s="5" t="s">
        <v>132</v>
      </c>
    </row>
    <row r="6" customFormat="false" ht="15" hidden="false" customHeight="true" outlineLevel="0" collapsed="false">
      <c r="B6" s="6" t="str">
        <f aca="false">활동로그!B6</f>
        <v>U001</v>
      </c>
      <c r="C6" s="6" t="str">
        <f aca="false">활동로그!C6</f>
        <v>작성자 A</v>
      </c>
      <c r="D6" s="6" t="str">
        <f aca="false">활동로그!D6</f>
        <v>우수 생산자</v>
      </c>
      <c r="E6" s="14" t="n">
        <f aca="false">활동로그!E6*설정!$C$7</f>
        <v>30</v>
      </c>
      <c r="F6" s="14" t="n">
        <f aca="false">활동로그!F6*설정!$C$8</f>
        <v>50</v>
      </c>
      <c r="G6" s="14" t="n">
        <f aca="false">활동로그!G6*설정!$C$9</f>
        <v>36</v>
      </c>
      <c r="H6" s="14" t="n">
        <f aca="false">활동로그!H6*설정!$C$10</f>
        <v>45</v>
      </c>
      <c r="I6" s="14" t="n">
        <f aca="false">활동로그!I6*설정!$C$11</f>
        <v>25</v>
      </c>
      <c r="J6" s="14" t="n">
        <f aca="false">활동로그!J6*설정!$C$12</f>
        <v>60</v>
      </c>
      <c r="K6" s="14" t="n">
        <f aca="false">활동로그!K6*설정!$C$13</f>
        <v>30</v>
      </c>
      <c r="L6" s="14" t="n">
        <f aca="false">SUM(E6:K6)</f>
        <v>276</v>
      </c>
      <c r="M6" s="14" t="n">
        <f aca="false">활동로그!L6*설정!$C$18+활동로그!M6*설정!$C$19</f>
        <v>0</v>
      </c>
      <c r="N6" s="15" t="n">
        <f aca="false">L6+M6</f>
        <v>276</v>
      </c>
      <c r="O6" s="14" t="str">
        <f aca="false">IF(N6&gt;설정!$C$24,"초과","-")</f>
        <v>-</v>
      </c>
      <c r="P6" s="16" t="n">
        <f aca="false">MIN(N6,설정!$C$24)</f>
        <v>276</v>
      </c>
    </row>
    <row r="7" customFormat="false" ht="15" hidden="false" customHeight="true" outlineLevel="0" collapsed="false">
      <c r="B7" s="6" t="str">
        <f aca="false">활동로그!B7</f>
        <v>U002</v>
      </c>
      <c r="C7" s="6" t="str">
        <f aca="false">활동로그!C7</f>
        <v>작성자 B</v>
      </c>
      <c r="D7" s="6" t="str">
        <f aca="false">활동로그!D7</f>
        <v>다작형</v>
      </c>
      <c r="E7" s="14" t="n">
        <f aca="false">활동로그!E7*설정!$C$7</f>
        <v>150</v>
      </c>
      <c r="F7" s="14" t="n">
        <f aca="false">활동로그!F7*설정!$C$8</f>
        <v>50</v>
      </c>
      <c r="G7" s="14" t="n">
        <f aca="false">활동로그!G7*설정!$C$9</f>
        <v>15</v>
      </c>
      <c r="H7" s="14" t="n">
        <f aca="false">활동로그!H7*설정!$C$10</f>
        <v>20</v>
      </c>
      <c r="I7" s="14" t="n">
        <f aca="false">활동로그!I7*설정!$C$11</f>
        <v>10</v>
      </c>
      <c r="J7" s="14" t="n">
        <f aca="false">활동로그!J7*설정!$C$12</f>
        <v>30</v>
      </c>
      <c r="K7" s="14" t="n">
        <f aca="false">활동로그!K7*설정!$C$13</f>
        <v>0</v>
      </c>
      <c r="L7" s="14" t="n">
        <f aca="false">SUM(E7:K7)</f>
        <v>275</v>
      </c>
      <c r="M7" s="14" t="n">
        <f aca="false">활동로그!L7*설정!$C$18+활동로그!M7*설정!$C$19</f>
        <v>0</v>
      </c>
      <c r="N7" s="15" t="n">
        <f aca="false">L7+M7</f>
        <v>275</v>
      </c>
      <c r="O7" s="14" t="str">
        <f aca="false">IF(N7&gt;설정!$C$24,"초과","-")</f>
        <v>-</v>
      </c>
      <c r="P7" s="16" t="n">
        <f aca="false">MIN(N7,설정!$C$24)</f>
        <v>275</v>
      </c>
    </row>
    <row r="8" customFormat="false" ht="15" hidden="false" customHeight="true" outlineLevel="0" collapsed="false">
      <c r="B8" s="6" t="str">
        <f aca="false">활동로그!B8</f>
        <v>U003</v>
      </c>
      <c r="C8" s="6" t="str">
        <f aca="false">활동로그!C8</f>
        <v>작성자 C</v>
      </c>
      <c r="D8" s="6" t="str">
        <f aca="false">활동로그!D8</f>
        <v>신규 진입자</v>
      </c>
      <c r="E8" s="14" t="n">
        <f aca="false">활동로그!E8*설정!$C$7</f>
        <v>10</v>
      </c>
      <c r="F8" s="14" t="n">
        <f aca="false">활동로그!F8*설정!$C$8</f>
        <v>50</v>
      </c>
      <c r="G8" s="14" t="n">
        <f aca="false">활동로그!G8*설정!$C$9</f>
        <v>6</v>
      </c>
      <c r="H8" s="14" t="n">
        <f aca="false">활동로그!H8*설정!$C$10</f>
        <v>18</v>
      </c>
      <c r="I8" s="14" t="n">
        <f aca="false">활동로그!I8*설정!$C$11</f>
        <v>5</v>
      </c>
      <c r="J8" s="14" t="n">
        <f aca="false">활동로그!J8*설정!$C$12</f>
        <v>30</v>
      </c>
      <c r="K8" s="14" t="n">
        <f aca="false">활동로그!K8*설정!$C$13</f>
        <v>0</v>
      </c>
      <c r="L8" s="14" t="n">
        <f aca="false">SUM(E8:K8)</f>
        <v>119</v>
      </c>
      <c r="M8" s="14" t="n">
        <f aca="false">활동로그!L8*설정!$C$18+활동로그!M8*설정!$C$19</f>
        <v>0</v>
      </c>
      <c r="N8" s="15" t="n">
        <f aca="false">L8+M8</f>
        <v>119</v>
      </c>
      <c r="O8" s="14" t="str">
        <f aca="false">IF(N8&gt;설정!$C$24,"초과","-")</f>
        <v>-</v>
      </c>
      <c r="P8" s="16" t="n">
        <f aca="false">MIN(N8,설정!$C$24)</f>
        <v>119</v>
      </c>
    </row>
    <row r="9" customFormat="false" ht="15" hidden="false" customHeight="true" outlineLevel="0" collapsed="false">
      <c r="B9" s="6" t="str">
        <f aca="false">활동로그!B9</f>
        <v>U004</v>
      </c>
      <c r="C9" s="6" t="str">
        <f aca="false">활동로그!C9</f>
        <v>작성자 D</v>
      </c>
      <c r="D9" s="6" t="str">
        <f aca="false">활동로그!D9</f>
        <v>교육 중심</v>
      </c>
      <c r="E9" s="14" t="n">
        <f aca="false">활동로그!E9*설정!$C$7</f>
        <v>20</v>
      </c>
      <c r="F9" s="14" t="n">
        <f aca="false">활동로그!F9*설정!$C$8</f>
        <v>50</v>
      </c>
      <c r="G9" s="14" t="n">
        <f aca="false">활동로그!G9*설정!$C$9</f>
        <v>24</v>
      </c>
      <c r="H9" s="14" t="n">
        <f aca="false">활동로그!H9*설정!$C$10</f>
        <v>15</v>
      </c>
      <c r="I9" s="14" t="n">
        <f aca="false">활동로그!I9*설정!$C$11</f>
        <v>30</v>
      </c>
      <c r="J9" s="14" t="n">
        <f aca="false">활동로그!J9*설정!$C$12</f>
        <v>30</v>
      </c>
      <c r="K9" s="14" t="n">
        <f aca="false">활동로그!K9*설정!$C$13</f>
        <v>10</v>
      </c>
      <c r="L9" s="14" t="n">
        <f aca="false">SUM(E9:K9)</f>
        <v>179</v>
      </c>
      <c r="M9" s="14" t="n">
        <f aca="false">활동로그!L9*설정!$C$18+활동로그!M9*설정!$C$19</f>
        <v>140</v>
      </c>
      <c r="N9" s="15" t="n">
        <f aca="false">L9+M9</f>
        <v>319</v>
      </c>
      <c r="O9" s="14" t="str">
        <f aca="false">IF(N9&gt;설정!$C$24,"초과","-")</f>
        <v>-</v>
      </c>
      <c r="P9" s="16" t="n">
        <f aca="false">MIN(N9,설정!$C$24)</f>
        <v>319</v>
      </c>
    </row>
    <row r="10" customFormat="false" ht="15" hidden="false" customHeight="true" outlineLevel="0" collapsed="false">
      <c r="B10" s="6" t="str">
        <f aca="false">활동로그!B10</f>
        <v>U005</v>
      </c>
      <c r="C10" s="6" t="str">
        <f aca="false">활동로그!C10</f>
        <v>열람자 E</v>
      </c>
      <c r="D10" s="6" t="str">
        <f aca="false">활동로그!D10</f>
        <v>열람 전용</v>
      </c>
      <c r="E10" s="14" t="n">
        <f aca="false">활동로그!E10*설정!$C$7</f>
        <v>0</v>
      </c>
      <c r="F10" s="14" t="n">
        <f aca="false">활동로그!F10*설정!$C$8</f>
        <v>0</v>
      </c>
      <c r="G10" s="14" t="n">
        <f aca="false">활동로그!G10*설정!$C$9</f>
        <v>18</v>
      </c>
      <c r="H10" s="14" t="n">
        <f aca="false">활동로그!H10*설정!$C$10</f>
        <v>0</v>
      </c>
      <c r="I10" s="14" t="n">
        <f aca="false">활동로그!I10*설정!$C$11</f>
        <v>21</v>
      </c>
      <c r="J10" s="14" t="n">
        <f aca="false">활동로그!J10*설정!$C$12</f>
        <v>0</v>
      </c>
      <c r="K10" s="14" t="n">
        <f aca="false">활동로그!K10*설정!$C$13</f>
        <v>0</v>
      </c>
      <c r="L10" s="14" t="n">
        <f aca="false">SUM(E10:K10)</f>
        <v>39</v>
      </c>
      <c r="M10" s="14" t="n">
        <f aca="false">활동로그!L10*설정!$C$18+활동로그!M10*설정!$C$19</f>
        <v>0</v>
      </c>
      <c r="N10" s="15" t="n">
        <f aca="false">L10+M10</f>
        <v>39</v>
      </c>
      <c r="O10" s="14" t="str">
        <f aca="false">IF(N10&gt;설정!$C$24,"초과","-")</f>
        <v>-</v>
      </c>
      <c r="P10" s="16" t="n">
        <f aca="false">MIN(N10,설정!$C$24)</f>
        <v>39</v>
      </c>
    </row>
    <row r="11" customFormat="false" ht="15" hidden="false" customHeight="true" outlineLevel="0" collapsed="false">
      <c r="B11" s="6" t="str">
        <f aca="false">활동로그!B11</f>
        <v>U006</v>
      </c>
      <c r="C11" s="6" t="str">
        <f aca="false">활동로그!C11</f>
        <v>참여자 6</v>
      </c>
      <c r="D11" s="6" t="str">
        <f aca="false">활동로그!D11</f>
        <v>일반</v>
      </c>
      <c r="E11" s="14" t="n">
        <f aca="false">활동로그!E11*설정!$C$7</f>
        <v>10</v>
      </c>
      <c r="F11" s="14" t="n">
        <f aca="false">활동로그!F11*설정!$C$8</f>
        <v>50</v>
      </c>
      <c r="G11" s="14" t="n">
        <f aca="false">활동로그!G11*설정!$C$9</f>
        <v>3</v>
      </c>
      <c r="H11" s="14" t="n">
        <f aca="false">활동로그!H11*설정!$C$10</f>
        <v>6</v>
      </c>
      <c r="I11" s="14" t="n">
        <f aca="false">활동로그!I11*설정!$C$11</f>
        <v>20</v>
      </c>
      <c r="J11" s="14" t="n">
        <f aca="false">활동로그!J11*설정!$C$12</f>
        <v>0</v>
      </c>
      <c r="K11" s="14" t="n">
        <f aca="false">활동로그!K11*설정!$C$13</f>
        <v>0</v>
      </c>
      <c r="L11" s="14" t="n">
        <f aca="false">SUM(E11:K11)</f>
        <v>89</v>
      </c>
      <c r="M11" s="14" t="n">
        <f aca="false">활동로그!L11*설정!$C$18+활동로그!M11*설정!$C$19</f>
        <v>0</v>
      </c>
      <c r="N11" s="15" t="n">
        <f aca="false">L11+M11</f>
        <v>89</v>
      </c>
      <c r="O11" s="14" t="str">
        <f aca="false">IF(N11&gt;설정!$C$24,"초과","-")</f>
        <v>-</v>
      </c>
      <c r="P11" s="16" t="n">
        <f aca="false">MIN(N11,설정!$C$24)</f>
        <v>89</v>
      </c>
    </row>
    <row r="12" customFormat="false" ht="15" hidden="false" customHeight="true" outlineLevel="0" collapsed="false">
      <c r="B12" s="6" t="str">
        <f aca="false">활동로그!B12</f>
        <v>U007</v>
      </c>
      <c r="C12" s="6" t="str">
        <f aca="false">활동로그!C12</f>
        <v>참여자 7</v>
      </c>
      <c r="D12" s="6" t="str">
        <f aca="false">활동로그!D12</f>
        <v>일반</v>
      </c>
      <c r="E12" s="14" t="n">
        <f aca="false">활동로그!E12*설정!$C$7</f>
        <v>10</v>
      </c>
      <c r="F12" s="14" t="n">
        <f aca="false">활동로그!F12*설정!$C$8</f>
        <v>50</v>
      </c>
      <c r="G12" s="14" t="n">
        <f aca="false">활동로그!G12*설정!$C$9</f>
        <v>12</v>
      </c>
      <c r="H12" s="14" t="n">
        <f aca="false">활동로그!H12*설정!$C$10</f>
        <v>0</v>
      </c>
      <c r="I12" s="14" t="n">
        <f aca="false">활동로그!I12*설정!$C$11</f>
        <v>16</v>
      </c>
      <c r="J12" s="14" t="n">
        <f aca="false">활동로그!J12*설정!$C$12</f>
        <v>0</v>
      </c>
      <c r="K12" s="14" t="n">
        <f aca="false">활동로그!K12*설정!$C$13</f>
        <v>0</v>
      </c>
      <c r="L12" s="14" t="n">
        <f aca="false">SUM(E12:K12)</f>
        <v>88</v>
      </c>
      <c r="M12" s="14" t="n">
        <f aca="false">활동로그!L12*설정!$C$18+활동로그!M12*설정!$C$19</f>
        <v>0</v>
      </c>
      <c r="N12" s="15" t="n">
        <f aca="false">L12+M12</f>
        <v>88</v>
      </c>
      <c r="O12" s="14" t="str">
        <f aca="false">IF(N12&gt;설정!$C$24,"초과","-")</f>
        <v>-</v>
      </c>
      <c r="P12" s="16" t="n">
        <f aca="false">MIN(N12,설정!$C$24)</f>
        <v>88</v>
      </c>
    </row>
    <row r="13" customFormat="false" ht="15" hidden="false" customHeight="true" outlineLevel="0" collapsed="false">
      <c r="B13" s="6" t="str">
        <f aca="false">활동로그!B13</f>
        <v>U008</v>
      </c>
      <c r="C13" s="6" t="str">
        <f aca="false">활동로그!C13</f>
        <v>참여자 8</v>
      </c>
      <c r="D13" s="6" t="str">
        <f aca="false">활동로그!D13</f>
        <v>일반</v>
      </c>
      <c r="E13" s="14" t="n">
        <f aca="false">활동로그!E13*설정!$C$7</f>
        <v>20</v>
      </c>
      <c r="F13" s="14" t="n">
        <f aca="false">활동로그!F13*설정!$C$8</f>
        <v>50</v>
      </c>
      <c r="G13" s="14" t="n">
        <f aca="false">활동로그!G13*설정!$C$9</f>
        <v>9</v>
      </c>
      <c r="H13" s="14" t="n">
        <f aca="false">활동로그!H13*설정!$C$10</f>
        <v>2</v>
      </c>
      <c r="I13" s="14" t="n">
        <f aca="false">활동로그!I13*설정!$C$11</f>
        <v>7</v>
      </c>
      <c r="J13" s="14" t="n">
        <f aca="false">활동로그!J13*설정!$C$12</f>
        <v>0</v>
      </c>
      <c r="K13" s="14" t="n">
        <f aca="false">활동로그!K13*설정!$C$13</f>
        <v>10</v>
      </c>
      <c r="L13" s="14" t="n">
        <f aca="false">SUM(E13:K13)</f>
        <v>98</v>
      </c>
      <c r="M13" s="14" t="n">
        <f aca="false">활동로그!L13*설정!$C$18+활동로그!M13*설정!$C$19</f>
        <v>30</v>
      </c>
      <c r="N13" s="15" t="n">
        <f aca="false">L13+M13</f>
        <v>128</v>
      </c>
      <c r="O13" s="14" t="str">
        <f aca="false">IF(N13&gt;설정!$C$24,"초과","-")</f>
        <v>-</v>
      </c>
      <c r="P13" s="16" t="n">
        <f aca="false">MIN(N13,설정!$C$24)</f>
        <v>128</v>
      </c>
    </row>
    <row r="14" customFormat="false" ht="15" hidden="false" customHeight="true" outlineLevel="0" collapsed="false">
      <c r="B14" s="6" t="str">
        <f aca="false">활동로그!B14</f>
        <v>U009</v>
      </c>
      <c r="C14" s="6" t="str">
        <f aca="false">활동로그!C14</f>
        <v>참여자 9</v>
      </c>
      <c r="D14" s="6" t="str">
        <f aca="false">활동로그!D14</f>
        <v>일반</v>
      </c>
      <c r="E14" s="14" t="n">
        <f aca="false">활동로그!E14*설정!$C$7</f>
        <v>0</v>
      </c>
      <c r="F14" s="14" t="n">
        <f aca="false">활동로그!F14*설정!$C$8</f>
        <v>0</v>
      </c>
      <c r="G14" s="14" t="n">
        <f aca="false">활동로그!G14*설정!$C$9</f>
        <v>18</v>
      </c>
      <c r="H14" s="14" t="n">
        <f aca="false">활동로그!H14*설정!$C$10</f>
        <v>0</v>
      </c>
      <c r="I14" s="14" t="n">
        <f aca="false">활동로그!I14*설정!$C$11</f>
        <v>18</v>
      </c>
      <c r="J14" s="14" t="n">
        <f aca="false">활동로그!J14*설정!$C$12</f>
        <v>0</v>
      </c>
      <c r="K14" s="14" t="n">
        <f aca="false">활동로그!K14*설정!$C$13</f>
        <v>0</v>
      </c>
      <c r="L14" s="14" t="n">
        <f aca="false">SUM(E14:K14)</f>
        <v>36</v>
      </c>
      <c r="M14" s="14" t="n">
        <f aca="false">활동로그!L14*설정!$C$18+활동로그!M14*설정!$C$19</f>
        <v>0</v>
      </c>
      <c r="N14" s="15" t="n">
        <f aca="false">L14+M14</f>
        <v>36</v>
      </c>
      <c r="O14" s="14" t="str">
        <f aca="false">IF(N14&gt;설정!$C$24,"초과","-")</f>
        <v>-</v>
      </c>
      <c r="P14" s="16" t="n">
        <f aca="false">MIN(N14,설정!$C$24)</f>
        <v>36</v>
      </c>
    </row>
    <row r="15" customFormat="false" ht="15" hidden="false" customHeight="true" outlineLevel="0" collapsed="false">
      <c r="B15" s="6" t="str">
        <f aca="false">활동로그!B15</f>
        <v>U010</v>
      </c>
      <c r="C15" s="6" t="str">
        <f aca="false">활동로그!C15</f>
        <v>참여자 10</v>
      </c>
      <c r="D15" s="6" t="str">
        <f aca="false">활동로그!D15</f>
        <v>일반</v>
      </c>
      <c r="E15" s="14" t="n">
        <f aca="false">활동로그!E15*설정!$C$7</f>
        <v>10</v>
      </c>
      <c r="F15" s="14" t="n">
        <f aca="false">활동로그!F15*설정!$C$8</f>
        <v>50</v>
      </c>
      <c r="G15" s="14" t="n">
        <f aca="false">활동로그!G15*설정!$C$9</f>
        <v>15</v>
      </c>
      <c r="H15" s="14" t="n">
        <f aca="false">활동로그!H15*설정!$C$10</f>
        <v>0</v>
      </c>
      <c r="I15" s="14" t="n">
        <f aca="false">활동로그!I15*설정!$C$11</f>
        <v>18</v>
      </c>
      <c r="J15" s="14" t="n">
        <f aca="false">활동로그!J15*설정!$C$12</f>
        <v>30</v>
      </c>
      <c r="K15" s="14" t="n">
        <f aca="false">활동로그!K15*설정!$C$13</f>
        <v>0</v>
      </c>
      <c r="L15" s="14" t="n">
        <f aca="false">SUM(E15:K15)</f>
        <v>123</v>
      </c>
      <c r="M15" s="14" t="n">
        <f aca="false">활동로그!L15*설정!$C$18+활동로그!M15*설정!$C$19</f>
        <v>0</v>
      </c>
      <c r="N15" s="15" t="n">
        <f aca="false">L15+M15</f>
        <v>123</v>
      </c>
      <c r="O15" s="14" t="str">
        <f aca="false">IF(N15&gt;설정!$C$24,"초과","-")</f>
        <v>-</v>
      </c>
      <c r="P15" s="16" t="n">
        <f aca="false">MIN(N15,설정!$C$24)</f>
        <v>123</v>
      </c>
    </row>
    <row r="16" customFormat="false" ht="15" hidden="false" customHeight="true" outlineLevel="0" collapsed="false">
      <c r="B16" s="6" t="str">
        <f aca="false">활동로그!B16</f>
        <v>U011</v>
      </c>
      <c r="C16" s="6" t="str">
        <f aca="false">활동로그!C16</f>
        <v>참여자 11</v>
      </c>
      <c r="D16" s="6" t="str">
        <f aca="false">활동로그!D16</f>
        <v>일반</v>
      </c>
      <c r="E16" s="14" t="n">
        <f aca="false">활동로그!E16*설정!$C$7</f>
        <v>0</v>
      </c>
      <c r="F16" s="14" t="n">
        <f aca="false">활동로그!F16*설정!$C$8</f>
        <v>0</v>
      </c>
      <c r="G16" s="14" t="n">
        <f aca="false">활동로그!G16*설정!$C$9</f>
        <v>12</v>
      </c>
      <c r="H16" s="14" t="n">
        <f aca="false">활동로그!H16*설정!$C$10</f>
        <v>0</v>
      </c>
      <c r="I16" s="14" t="n">
        <f aca="false">활동로그!I16*설정!$C$11</f>
        <v>4</v>
      </c>
      <c r="J16" s="14" t="n">
        <f aca="false">활동로그!J16*설정!$C$12</f>
        <v>0</v>
      </c>
      <c r="K16" s="14" t="n">
        <f aca="false">활동로그!K16*설정!$C$13</f>
        <v>0</v>
      </c>
      <c r="L16" s="14" t="n">
        <f aca="false">SUM(E16:K16)</f>
        <v>16</v>
      </c>
      <c r="M16" s="14" t="n">
        <f aca="false">활동로그!L16*설정!$C$18+활동로그!M16*설정!$C$19</f>
        <v>0</v>
      </c>
      <c r="N16" s="15" t="n">
        <f aca="false">L16+M16</f>
        <v>16</v>
      </c>
      <c r="O16" s="14" t="str">
        <f aca="false">IF(N16&gt;설정!$C$24,"초과","-")</f>
        <v>-</v>
      </c>
      <c r="P16" s="16" t="n">
        <f aca="false">MIN(N16,설정!$C$24)</f>
        <v>16</v>
      </c>
    </row>
    <row r="17" customFormat="false" ht="15" hidden="false" customHeight="true" outlineLevel="0" collapsed="false">
      <c r="B17" s="6" t="str">
        <f aca="false">활동로그!B17</f>
        <v>U012</v>
      </c>
      <c r="C17" s="6" t="str">
        <f aca="false">활동로그!C17</f>
        <v>참여자 12</v>
      </c>
      <c r="D17" s="6" t="str">
        <f aca="false">활동로그!D17</f>
        <v>일반</v>
      </c>
      <c r="E17" s="14" t="n">
        <f aca="false">활동로그!E17*설정!$C$7</f>
        <v>20</v>
      </c>
      <c r="F17" s="14" t="n">
        <f aca="false">활동로그!F17*설정!$C$8</f>
        <v>50</v>
      </c>
      <c r="G17" s="14" t="n">
        <f aca="false">활동로그!G17*설정!$C$9</f>
        <v>3</v>
      </c>
      <c r="H17" s="14" t="n">
        <f aca="false">활동로그!H17*설정!$C$10</f>
        <v>3</v>
      </c>
      <c r="I17" s="14" t="n">
        <f aca="false">활동로그!I17*설정!$C$11</f>
        <v>18</v>
      </c>
      <c r="J17" s="14" t="n">
        <f aca="false">활동로그!J17*설정!$C$12</f>
        <v>0</v>
      </c>
      <c r="K17" s="14" t="n">
        <f aca="false">활동로그!K17*설정!$C$13</f>
        <v>10</v>
      </c>
      <c r="L17" s="14" t="n">
        <f aca="false">SUM(E17:K17)</f>
        <v>104</v>
      </c>
      <c r="M17" s="14" t="n">
        <f aca="false">활동로그!L17*설정!$C$18+활동로그!M17*설정!$C$19</f>
        <v>0</v>
      </c>
      <c r="N17" s="15" t="n">
        <f aca="false">L17+M17</f>
        <v>104</v>
      </c>
      <c r="O17" s="14" t="str">
        <f aca="false">IF(N17&gt;설정!$C$24,"초과","-")</f>
        <v>-</v>
      </c>
      <c r="P17" s="16" t="n">
        <f aca="false">MIN(N17,설정!$C$24)</f>
        <v>104</v>
      </c>
    </row>
    <row r="18" customFormat="false" ht="15" hidden="false" customHeight="true" outlineLevel="0" collapsed="false">
      <c r="B18" s="6" t="str">
        <f aca="false">활동로그!B18</f>
        <v>U013</v>
      </c>
      <c r="C18" s="6" t="str">
        <f aca="false">활동로그!C18</f>
        <v>참여자 13</v>
      </c>
      <c r="D18" s="6" t="str">
        <f aca="false">활동로그!D18</f>
        <v>일반</v>
      </c>
      <c r="E18" s="14" t="n">
        <f aca="false">활동로그!E18*설정!$C$7</f>
        <v>0</v>
      </c>
      <c r="F18" s="14" t="n">
        <f aca="false">활동로그!F18*설정!$C$8</f>
        <v>0</v>
      </c>
      <c r="G18" s="14" t="n">
        <f aca="false">활동로그!G18*설정!$C$9</f>
        <v>12</v>
      </c>
      <c r="H18" s="14" t="n">
        <f aca="false">활동로그!H18*설정!$C$10</f>
        <v>0</v>
      </c>
      <c r="I18" s="14" t="n">
        <f aca="false">활동로그!I18*설정!$C$11</f>
        <v>18</v>
      </c>
      <c r="J18" s="14" t="n">
        <f aca="false">활동로그!J18*설정!$C$12</f>
        <v>0</v>
      </c>
      <c r="K18" s="14" t="n">
        <f aca="false">활동로그!K18*설정!$C$13</f>
        <v>0</v>
      </c>
      <c r="L18" s="14" t="n">
        <f aca="false">SUM(E18:K18)</f>
        <v>30</v>
      </c>
      <c r="M18" s="14" t="n">
        <f aca="false">활동로그!L18*설정!$C$18+활동로그!M18*설정!$C$19</f>
        <v>0</v>
      </c>
      <c r="N18" s="15" t="n">
        <f aca="false">L18+M18</f>
        <v>30</v>
      </c>
      <c r="O18" s="14" t="str">
        <f aca="false">IF(N18&gt;설정!$C$24,"초과","-")</f>
        <v>-</v>
      </c>
      <c r="P18" s="16" t="n">
        <f aca="false">MIN(N18,설정!$C$24)</f>
        <v>30</v>
      </c>
    </row>
    <row r="19" customFormat="false" ht="15" hidden="false" customHeight="true" outlineLevel="0" collapsed="false">
      <c r="B19" s="6" t="str">
        <f aca="false">활동로그!B19</f>
        <v>U014</v>
      </c>
      <c r="C19" s="6" t="str">
        <f aca="false">활동로그!C19</f>
        <v>참여자 14</v>
      </c>
      <c r="D19" s="6" t="str">
        <f aca="false">활동로그!D19</f>
        <v>일반</v>
      </c>
      <c r="E19" s="14" t="n">
        <f aca="false">활동로그!E19*설정!$C$7</f>
        <v>10</v>
      </c>
      <c r="F19" s="14" t="n">
        <f aca="false">활동로그!F19*설정!$C$8</f>
        <v>50</v>
      </c>
      <c r="G19" s="14" t="n">
        <f aca="false">활동로그!G19*설정!$C$9</f>
        <v>0</v>
      </c>
      <c r="H19" s="14" t="n">
        <f aca="false">활동로그!H19*설정!$C$10</f>
        <v>8</v>
      </c>
      <c r="I19" s="14" t="n">
        <f aca="false">활동로그!I19*설정!$C$11</f>
        <v>2</v>
      </c>
      <c r="J19" s="14" t="n">
        <f aca="false">활동로그!J19*설정!$C$12</f>
        <v>0</v>
      </c>
      <c r="K19" s="14" t="n">
        <f aca="false">활동로그!K19*설정!$C$13</f>
        <v>10</v>
      </c>
      <c r="L19" s="14" t="n">
        <f aca="false">SUM(E19:K19)</f>
        <v>80</v>
      </c>
      <c r="M19" s="14" t="n">
        <f aca="false">활동로그!L19*설정!$C$18+활동로그!M19*설정!$C$19</f>
        <v>0</v>
      </c>
      <c r="N19" s="15" t="n">
        <f aca="false">L19+M19</f>
        <v>80</v>
      </c>
      <c r="O19" s="14" t="str">
        <f aca="false">IF(N19&gt;설정!$C$24,"초과","-")</f>
        <v>-</v>
      </c>
      <c r="P19" s="16" t="n">
        <f aca="false">MIN(N19,설정!$C$24)</f>
        <v>80</v>
      </c>
    </row>
    <row r="20" customFormat="false" ht="15" hidden="false" customHeight="true" outlineLevel="0" collapsed="false">
      <c r="B20" s="6" t="str">
        <f aca="false">활동로그!B20</f>
        <v>U015</v>
      </c>
      <c r="C20" s="6" t="str">
        <f aca="false">활동로그!C20</f>
        <v>참여자 15</v>
      </c>
      <c r="D20" s="6" t="str">
        <f aca="false">활동로그!D20</f>
        <v>일반</v>
      </c>
      <c r="E20" s="14" t="n">
        <f aca="false">활동로그!E20*설정!$C$7</f>
        <v>20</v>
      </c>
      <c r="F20" s="14" t="n">
        <f aca="false">활동로그!F20*설정!$C$8</f>
        <v>50</v>
      </c>
      <c r="G20" s="14" t="n">
        <f aca="false">활동로그!G20*설정!$C$9</f>
        <v>15</v>
      </c>
      <c r="H20" s="14" t="n">
        <f aca="false">활동로그!H20*설정!$C$10</f>
        <v>13</v>
      </c>
      <c r="I20" s="14" t="n">
        <f aca="false">활동로그!I20*설정!$C$11</f>
        <v>10</v>
      </c>
      <c r="J20" s="14" t="n">
        <f aca="false">활동로그!J20*설정!$C$12</f>
        <v>30</v>
      </c>
      <c r="K20" s="14" t="n">
        <f aca="false">활동로그!K20*설정!$C$13</f>
        <v>10</v>
      </c>
      <c r="L20" s="14" t="n">
        <f aca="false">SUM(E20:K20)</f>
        <v>148</v>
      </c>
      <c r="M20" s="14" t="n">
        <f aca="false">활동로그!L20*설정!$C$18+활동로그!M20*설정!$C$19</f>
        <v>30</v>
      </c>
      <c r="N20" s="15" t="n">
        <f aca="false">L20+M20</f>
        <v>178</v>
      </c>
      <c r="O20" s="14" t="str">
        <f aca="false">IF(N20&gt;설정!$C$24,"초과","-")</f>
        <v>-</v>
      </c>
      <c r="P20" s="16" t="n">
        <f aca="false">MIN(N20,설정!$C$24)</f>
        <v>178</v>
      </c>
    </row>
    <row r="21" customFormat="false" ht="15" hidden="false" customHeight="true" outlineLevel="0" collapsed="false">
      <c r="B21" s="6" t="str">
        <f aca="false">활동로그!B21</f>
        <v>U016</v>
      </c>
      <c r="C21" s="6" t="str">
        <f aca="false">활동로그!C21</f>
        <v>참여자 16</v>
      </c>
      <c r="D21" s="6" t="str">
        <f aca="false">활동로그!D21</f>
        <v>일반</v>
      </c>
      <c r="E21" s="14" t="n">
        <f aca="false">활동로그!E21*설정!$C$7</f>
        <v>10</v>
      </c>
      <c r="F21" s="14" t="n">
        <f aca="false">활동로그!F21*설정!$C$8</f>
        <v>50</v>
      </c>
      <c r="G21" s="14" t="n">
        <f aca="false">활동로그!G21*설정!$C$9</f>
        <v>6</v>
      </c>
      <c r="H21" s="14" t="n">
        <f aca="false">활동로그!H21*설정!$C$10</f>
        <v>3</v>
      </c>
      <c r="I21" s="14" t="n">
        <f aca="false">활동로그!I21*설정!$C$11</f>
        <v>5</v>
      </c>
      <c r="J21" s="14" t="n">
        <f aca="false">활동로그!J21*설정!$C$12</f>
        <v>0</v>
      </c>
      <c r="K21" s="14" t="n">
        <f aca="false">활동로그!K21*설정!$C$13</f>
        <v>0</v>
      </c>
      <c r="L21" s="14" t="n">
        <f aca="false">SUM(E21:K21)</f>
        <v>74</v>
      </c>
      <c r="M21" s="14" t="n">
        <f aca="false">활동로그!L21*설정!$C$18+활동로그!M21*설정!$C$19</f>
        <v>0</v>
      </c>
      <c r="N21" s="15" t="n">
        <f aca="false">L21+M21</f>
        <v>74</v>
      </c>
      <c r="O21" s="14" t="str">
        <f aca="false">IF(N21&gt;설정!$C$24,"초과","-")</f>
        <v>-</v>
      </c>
      <c r="P21" s="16" t="n">
        <f aca="false">MIN(N21,설정!$C$24)</f>
        <v>74</v>
      </c>
    </row>
    <row r="22" customFormat="false" ht="15" hidden="false" customHeight="true" outlineLevel="0" collapsed="false">
      <c r="B22" s="6" t="str">
        <f aca="false">활동로그!B22</f>
        <v>U017</v>
      </c>
      <c r="C22" s="6" t="str">
        <f aca="false">활동로그!C22</f>
        <v>참여자 17</v>
      </c>
      <c r="D22" s="6" t="str">
        <f aca="false">활동로그!D22</f>
        <v>일반</v>
      </c>
      <c r="E22" s="14" t="n">
        <f aca="false">활동로그!E22*설정!$C$7</f>
        <v>20</v>
      </c>
      <c r="F22" s="14" t="n">
        <f aca="false">활동로그!F22*설정!$C$8</f>
        <v>50</v>
      </c>
      <c r="G22" s="14" t="n">
        <f aca="false">활동로그!G22*설정!$C$9</f>
        <v>9</v>
      </c>
      <c r="H22" s="14" t="n">
        <f aca="false">활동로그!H22*설정!$C$10</f>
        <v>10</v>
      </c>
      <c r="I22" s="14" t="n">
        <f aca="false">활동로그!I22*설정!$C$11</f>
        <v>14</v>
      </c>
      <c r="J22" s="14" t="n">
        <f aca="false">활동로그!J22*설정!$C$12</f>
        <v>0</v>
      </c>
      <c r="K22" s="14" t="n">
        <f aca="false">활동로그!K22*설정!$C$13</f>
        <v>10</v>
      </c>
      <c r="L22" s="14" t="n">
        <f aca="false">SUM(E22:K22)</f>
        <v>113</v>
      </c>
      <c r="M22" s="14" t="n">
        <f aca="false">활동로그!L22*설정!$C$18+활동로그!M22*설정!$C$19</f>
        <v>0</v>
      </c>
      <c r="N22" s="15" t="n">
        <f aca="false">L22+M22</f>
        <v>113</v>
      </c>
      <c r="O22" s="14" t="str">
        <f aca="false">IF(N22&gt;설정!$C$24,"초과","-")</f>
        <v>-</v>
      </c>
      <c r="P22" s="16" t="n">
        <f aca="false">MIN(N22,설정!$C$24)</f>
        <v>113</v>
      </c>
    </row>
    <row r="23" customFormat="false" ht="15" hidden="false" customHeight="true" outlineLevel="0" collapsed="false">
      <c r="B23" s="6" t="str">
        <f aca="false">활동로그!B23</f>
        <v>U018</v>
      </c>
      <c r="C23" s="6" t="str">
        <f aca="false">활동로그!C23</f>
        <v>참여자 18</v>
      </c>
      <c r="D23" s="6" t="str">
        <f aca="false">활동로그!D23</f>
        <v>일반</v>
      </c>
      <c r="E23" s="14" t="n">
        <f aca="false">활동로그!E23*설정!$C$7</f>
        <v>0</v>
      </c>
      <c r="F23" s="14" t="n">
        <f aca="false">활동로그!F23*설정!$C$8</f>
        <v>0</v>
      </c>
      <c r="G23" s="14" t="n">
        <f aca="false">활동로그!G23*설정!$C$9</f>
        <v>12</v>
      </c>
      <c r="H23" s="14" t="n">
        <f aca="false">활동로그!H23*설정!$C$10</f>
        <v>0</v>
      </c>
      <c r="I23" s="14" t="n">
        <f aca="false">활동로그!I23*설정!$C$11</f>
        <v>13</v>
      </c>
      <c r="J23" s="14" t="n">
        <f aca="false">활동로그!J23*설정!$C$12</f>
        <v>0</v>
      </c>
      <c r="K23" s="14" t="n">
        <f aca="false">활동로그!K23*설정!$C$13</f>
        <v>0</v>
      </c>
      <c r="L23" s="14" t="n">
        <f aca="false">SUM(E23:K23)</f>
        <v>25</v>
      </c>
      <c r="M23" s="14" t="n">
        <f aca="false">활동로그!L23*설정!$C$18+활동로그!M23*설정!$C$19</f>
        <v>0</v>
      </c>
      <c r="N23" s="15" t="n">
        <f aca="false">L23+M23</f>
        <v>25</v>
      </c>
      <c r="O23" s="14" t="str">
        <f aca="false">IF(N23&gt;설정!$C$24,"초과","-")</f>
        <v>-</v>
      </c>
      <c r="P23" s="16" t="n">
        <f aca="false">MIN(N23,설정!$C$24)</f>
        <v>25</v>
      </c>
    </row>
    <row r="24" customFormat="false" ht="15" hidden="false" customHeight="true" outlineLevel="0" collapsed="false">
      <c r="B24" s="6" t="str">
        <f aca="false">활동로그!B24</f>
        <v>U019</v>
      </c>
      <c r="C24" s="6" t="str">
        <f aca="false">활동로그!C24</f>
        <v>참여자 19</v>
      </c>
      <c r="D24" s="6" t="str">
        <f aca="false">활동로그!D24</f>
        <v>일반</v>
      </c>
      <c r="E24" s="14" t="n">
        <f aca="false">활동로그!E24*설정!$C$7</f>
        <v>10</v>
      </c>
      <c r="F24" s="14" t="n">
        <f aca="false">활동로그!F24*설정!$C$8</f>
        <v>50</v>
      </c>
      <c r="G24" s="14" t="n">
        <f aca="false">활동로그!G24*설정!$C$9</f>
        <v>3</v>
      </c>
      <c r="H24" s="14" t="n">
        <f aca="false">활동로그!H24*설정!$C$10</f>
        <v>7</v>
      </c>
      <c r="I24" s="14" t="n">
        <f aca="false">활동로그!I24*설정!$C$11</f>
        <v>13</v>
      </c>
      <c r="J24" s="14" t="n">
        <f aca="false">활동로그!J24*설정!$C$12</f>
        <v>0</v>
      </c>
      <c r="K24" s="14" t="n">
        <f aca="false">활동로그!K24*설정!$C$13</f>
        <v>10</v>
      </c>
      <c r="L24" s="14" t="n">
        <f aca="false">SUM(E24:K24)</f>
        <v>93</v>
      </c>
      <c r="M24" s="14" t="n">
        <f aca="false">활동로그!L24*설정!$C$18+활동로그!M24*설정!$C$19</f>
        <v>0</v>
      </c>
      <c r="N24" s="15" t="n">
        <f aca="false">L24+M24</f>
        <v>93</v>
      </c>
      <c r="O24" s="14" t="str">
        <f aca="false">IF(N24&gt;설정!$C$24,"초과","-")</f>
        <v>-</v>
      </c>
      <c r="P24" s="16" t="n">
        <f aca="false">MIN(N24,설정!$C$24)</f>
        <v>93</v>
      </c>
    </row>
    <row r="25" customFormat="false" ht="15" hidden="false" customHeight="true" outlineLevel="0" collapsed="false">
      <c r="B25" s="6" t="str">
        <f aca="false">활동로그!B25</f>
        <v>U020</v>
      </c>
      <c r="C25" s="6" t="str">
        <f aca="false">활동로그!C25</f>
        <v>참여자 20</v>
      </c>
      <c r="D25" s="6" t="str">
        <f aca="false">활동로그!D25</f>
        <v>일반</v>
      </c>
      <c r="E25" s="14" t="n">
        <f aca="false">활동로그!E25*설정!$C$7</f>
        <v>20</v>
      </c>
      <c r="F25" s="14" t="n">
        <f aca="false">활동로그!F25*설정!$C$8</f>
        <v>50</v>
      </c>
      <c r="G25" s="14" t="n">
        <f aca="false">활동로그!G25*설정!$C$9</f>
        <v>12</v>
      </c>
      <c r="H25" s="14" t="n">
        <f aca="false">활동로그!H25*설정!$C$10</f>
        <v>10</v>
      </c>
      <c r="I25" s="14" t="n">
        <f aca="false">활동로그!I25*설정!$C$11</f>
        <v>10</v>
      </c>
      <c r="J25" s="14" t="n">
        <f aca="false">활동로그!J25*설정!$C$12</f>
        <v>0</v>
      </c>
      <c r="K25" s="14" t="n">
        <f aca="false">활동로그!K25*설정!$C$13</f>
        <v>10</v>
      </c>
      <c r="L25" s="14" t="n">
        <f aca="false">SUM(E25:K25)</f>
        <v>112</v>
      </c>
      <c r="M25" s="14" t="n">
        <f aca="false">활동로그!L25*설정!$C$18+활동로그!M25*설정!$C$19</f>
        <v>30</v>
      </c>
      <c r="N25" s="15" t="n">
        <f aca="false">L25+M25</f>
        <v>142</v>
      </c>
      <c r="O25" s="14" t="str">
        <f aca="false">IF(N25&gt;설정!$C$24,"초과","-")</f>
        <v>-</v>
      </c>
      <c r="P25" s="16" t="n">
        <f aca="false">MIN(N25,설정!$C$24)</f>
        <v>142</v>
      </c>
    </row>
    <row r="26" customFormat="false" ht="15" hidden="false" customHeight="true" outlineLevel="0" collapsed="false">
      <c r="B26" s="6" t="str">
        <f aca="false">활동로그!B26</f>
        <v>U021</v>
      </c>
      <c r="C26" s="6" t="str">
        <f aca="false">활동로그!C26</f>
        <v>참여자 21</v>
      </c>
      <c r="D26" s="6" t="str">
        <f aca="false">활동로그!D26</f>
        <v>일반</v>
      </c>
      <c r="E26" s="14" t="n">
        <f aca="false">활동로그!E26*설정!$C$7</f>
        <v>20</v>
      </c>
      <c r="F26" s="14" t="n">
        <f aca="false">활동로그!F26*설정!$C$8</f>
        <v>50</v>
      </c>
      <c r="G26" s="14" t="n">
        <f aca="false">활동로그!G26*설정!$C$9</f>
        <v>18</v>
      </c>
      <c r="H26" s="14" t="n">
        <f aca="false">활동로그!H26*설정!$C$10</f>
        <v>14</v>
      </c>
      <c r="I26" s="14" t="n">
        <f aca="false">활동로그!I26*설정!$C$11</f>
        <v>2</v>
      </c>
      <c r="J26" s="14" t="n">
        <f aca="false">활동로그!J26*설정!$C$12</f>
        <v>0</v>
      </c>
      <c r="K26" s="14" t="n">
        <f aca="false">활동로그!K26*설정!$C$13</f>
        <v>0</v>
      </c>
      <c r="L26" s="14" t="n">
        <f aca="false">SUM(E26:K26)</f>
        <v>104</v>
      </c>
      <c r="M26" s="14" t="n">
        <f aca="false">활동로그!L26*설정!$C$18+활동로그!M26*설정!$C$19</f>
        <v>30</v>
      </c>
      <c r="N26" s="15" t="n">
        <f aca="false">L26+M26</f>
        <v>134</v>
      </c>
      <c r="O26" s="14" t="str">
        <f aca="false">IF(N26&gt;설정!$C$24,"초과","-")</f>
        <v>-</v>
      </c>
      <c r="P26" s="16" t="n">
        <f aca="false">MIN(N26,설정!$C$24)</f>
        <v>134</v>
      </c>
    </row>
    <row r="27" customFormat="false" ht="15" hidden="false" customHeight="true" outlineLevel="0" collapsed="false">
      <c r="B27" s="6" t="str">
        <f aca="false">활동로그!B27</f>
        <v>U022</v>
      </c>
      <c r="C27" s="6" t="str">
        <f aca="false">활동로그!C27</f>
        <v>참여자 22</v>
      </c>
      <c r="D27" s="6" t="str">
        <f aca="false">활동로그!D27</f>
        <v>일반</v>
      </c>
      <c r="E27" s="14" t="n">
        <f aca="false">활동로그!E27*설정!$C$7</f>
        <v>30</v>
      </c>
      <c r="F27" s="14" t="n">
        <f aca="false">활동로그!F27*설정!$C$8</f>
        <v>50</v>
      </c>
      <c r="G27" s="14" t="n">
        <f aca="false">활동로그!G27*설정!$C$9</f>
        <v>15</v>
      </c>
      <c r="H27" s="14" t="n">
        <f aca="false">활동로그!H27*설정!$C$10</f>
        <v>2</v>
      </c>
      <c r="I27" s="14" t="n">
        <f aca="false">활동로그!I27*설정!$C$11</f>
        <v>1</v>
      </c>
      <c r="J27" s="14" t="n">
        <f aca="false">활동로그!J27*설정!$C$12</f>
        <v>0</v>
      </c>
      <c r="K27" s="14" t="n">
        <f aca="false">활동로그!K27*설정!$C$13</f>
        <v>10</v>
      </c>
      <c r="L27" s="14" t="n">
        <f aca="false">SUM(E27:K27)</f>
        <v>108</v>
      </c>
      <c r="M27" s="14" t="n">
        <f aca="false">활동로그!L27*설정!$C$18+활동로그!M27*설정!$C$19</f>
        <v>30</v>
      </c>
      <c r="N27" s="15" t="n">
        <f aca="false">L27+M27</f>
        <v>138</v>
      </c>
      <c r="O27" s="14" t="str">
        <f aca="false">IF(N27&gt;설정!$C$24,"초과","-")</f>
        <v>-</v>
      </c>
      <c r="P27" s="16" t="n">
        <f aca="false">MIN(N27,설정!$C$24)</f>
        <v>138</v>
      </c>
    </row>
    <row r="28" customFormat="false" ht="15" hidden="false" customHeight="true" outlineLevel="0" collapsed="false">
      <c r="B28" s="6" t="str">
        <f aca="false">활동로그!B28</f>
        <v>U023</v>
      </c>
      <c r="C28" s="6" t="str">
        <f aca="false">활동로그!C28</f>
        <v>참여자 23</v>
      </c>
      <c r="D28" s="6" t="str">
        <f aca="false">활동로그!D28</f>
        <v>일반</v>
      </c>
      <c r="E28" s="14" t="n">
        <f aca="false">활동로그!E28*설정!$C$7</f>
        <v>10</v>
      </c>
      <c r="F28" s="14" t="n">
        <f aca="false">활동로그!F28*설정!$C$8</f>
        <v>50</v>
      </c>
      <c r="G28" s="14" t="n">
        <f aca="false">활동로그!G28*설정!$C$9</f>
        <v>15</v>
      </c>
      <c r="H28" s="14" t="n">
        <f aca="false">활동로그!H28*설정!$C$10</f>
        <v>6</v>
      </c>
      <c r="I28" s="14" t="n">
        <f aca="false">활동로그!I28*설정!$C$11</f>
        <v>21</v>
      </c>
      <c r="J28" s="14" t="n">
        <f aca="false">활동로그!J28*설정!$C$12</f>
        <v>0</v>
      </c>
      <c r="K28" s="14" t="n">
        <f aca="false">활동로그!K28*설정!$C$13</f>
        <v>0</v>
      </c>
      <c r="L28" s="14" t="n">
        <f aca="false">SUM(E28:K28)</f>
        <v>102</v>
      </c>
      <c r="M28" s="14" t="n">
        <f aca="false">활동로그!L28*설정!$C$18+활동로그!M28*설정!$C$19</f>
        <v>30</v>
      </c>
      <c r="N28" s="15" t="n">
        <f aca="false">L28+M28</f>
        <v>132</v>
      </c>
      <c r="O28" s="14" t="str">
        <f aca="false">IF(N28&gt;설정!$C$24,"초과","-")</f>
        <v>-</v>
      </c>
      <c r="P28" s="16" t="n">
        <f aca="false">MIN(N28,설정!$C$24)</f>
        <v>132</v>
      </c>
    </row>
    <row r="29" customFormat="false" ht="15" hidden="false" customHeight="true" outlineLevel="0" collapsed="false">
      <c r="B29" s="6" t="str">
        <f aca="false">활동로그!B29</f>
        <v>U024</v>
      </c>
      <c r="C29" s="6" t="str">
        <f aca="false">활동로그!C29</f>
        <v>참여자 24</v>
      </c>
      <c r="D29" s="6" t="str">
        <f aca="false">활동로그!D29</f>
        <v>일반</v>
      </c>
      <c r="E29" s="14" t="n">
        <f aca="false">활동로그!E29*설정!$C$7</f>
        <v>10</v>
      </c>
      <c r="F29" s="14" t="n">
        <f aca="false">활동로그!F29*설정!$C$8</f>
        <v>50</v>
      </c>
      <c r="G29" s="14" t="n">
        <f aca="false">활동로그!G29*설정!$C$9</f>
        <v>3</v>
      </c>
      <c r="H29" s="14" t="n">
        <f aca="false">활동로그!H29*설정!$C$10</f>
        <v>1</v>
      </c>
      <c r="I29" s="14" t="n">
        <f aca="false">활동로그!I29*설정!$C$11</f>
        <v>15</v>
      </c>
      <c r="J29" s="14" t="n">
        <f aca="false">활동로그!J29*설정!$C$12</f>
        <v>0</v>
      </c>
      <c r="K29" s="14" t="n">
        <f aca="false">활동로그!K29*설정!$C$13</f>
        <v>0</v>
      </c>
      <c r="L29" s="14" t="n">
        <f aca="false">SUM(E29:K29)</f>
        <v>79</v>
      </c>
      <c r="M29" s="14" t="n">
        <f aca="false">활동로그!L29*설정!$C$18+활동로그!M29*설정!$C$19</f>
        <v>0</v>
      </c>
      <c r="N29" s="15" t="n">
        <f aca="false">L29+M29</f>
        <v>79</v>
      </c>
      <c r="O29" s="14" t="str">
        <f aca="false">IF(N29&gt;설정!$C$24,"초과","-")</f>
        <v>-</v>
      </c>
      <c r="P29" s="16" t="n">
        <f aca="false">MIN(N29,설정!$C$24)</f>
        <v>79</v>
      </c>
    </row>
    <row r="30" customFormat="false" ht="15" hidden="false" customHeight="true" outlineLevel="0" collapsed="false">
      <c r="B30" s="6" t="str">
        <f aca="false">활동로그!B30</f>
        <v>U025</v>
      </c>
      <c r="C30" s="6" t="str">
        <f aca="false">활동로그!C30</f>
        <v>참여자 25</v>
      </c>
      <c r="D30" s="6" t="str">
        <f aca="false">활동로그!D30</f>
        <v>일반</v>
      </c>
      <c r="E30" s="14" t="n">
        <f aca="false">활동로그!E30*설정!$C$7</f>
        <v>10</v>
      </c>
      <c r="F30" s="14" t="n">
        <f aca="false">활동로그!F30*설정!$C$8</f>
        <v>50</v>
      </c>
      <c r="G30" s="14" t="n">
        <f aca="false">활동로그!G30*설정!$C$9</f>
        <v>15</v>
      </c>
      <c r="H30" s="14" t="n">
        <f aca="false">활동로그!H30*설정!$C$10</f>
        <v>3</v>
      </c>
      <c r="I30" s="14" t="n">
        <f aca="false">활동로그!I30*설정!$C$11</f>
        <v>12</v>
      </c>
      <c r="J30" s="14" t="n">
        <f aca="false">활동로그!J30*설정!$C$12</f>
        <v>30</v>
      </c>
      <c r="K30" s="14" t="n">
        <f aca="false">활동로그!K30*설정!$C$13</f>
        <v>0</v>
      </c>
      <c r="L30" s="14" t="n">
        <f aca="false">SUM(E30:K30)</f>
        <v>120</v>
      </c>
      <c r="M30" s="14" t="n">
        <f aca="false">활동로그!L30*설정!$C$18+활동로그!M30*설정!$C$19</f>
        <v>0</v>
      </c>
      <c r="N30" s="15" t="n">
        <f aca="false">L30+M30</f>
        <v>120</v>
      </c>
      <c r="O30" s="14" t="str">
        <f aca="false">IF(N30&gt;설정!$C$24,"초과","-")</f>
        <v>-</v>
      </c>
      <c r="P30" s="16" t="n">
        <f aca="false">MIN(N30,설정!$C$24)</f>
        <v>120</v>
      </c>
    </row>
    <row r="31" customFormat="false" ht="15" hidden="false" customHeight="true" outlineLevel="0" collapsed="false">
      <c r="B31" s="17"/>
      <c r="C31" s="17"/>
      <c r="D31" s="18" t="s">
        <v>133</v>
      </c>
      <c r="E31" s="17"/>
      <c r="F31" s="17"/>
      <c r="G31" s="17"/>
      <c r="H31" s="17"/>
      <c r="I31" s="17"/>
      <c r="J31" s="17"/>
      <c r="K31" s="17"/>
      <c r="L31" s="19" t="n">
        <f aca="false">SUM(L6:L30)</f>
        <v>2630</v>
      </c>
      <c r="M31" s="19" t="n">
        <f aca="false">SUM(M6:M30)</f>
        <v>320</v>
      </c>
      <c r="N31" s="19" t="n">
        <f aca="false">SUM(N6:N30)</f>
        <v>2950</v>
      </c>
      <c r="O31" s="17"/>
      <c r="P31" s="19" t="n">
        <f aca="false">SUM(P6:P30)</f>
        <v>2950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42"/>
  </cols>
  <sheetData>
    <row r="2" customFormat="false" ht="19.7" hidden="false" customHeight="false" outlineLevel="0" collapsed="false">
      <c r="B2" s="20" t="s">
        <v>134</v>
      </c>
    </row>
    <row r="3" customFormat="false" ht="15" hidden="false" customHeight="false" outlineLevel="0" collapsed="false">
      <c r="B3" s="21" t="s">
        <v>135</v>
      </c>
    </row>
    <row r="5" customFormat="false" ht="15" hidden="false" customHeight="false" outlineLevel="0" collapsed="false">
      <c r="B5" s="22" t="s">
        <v>136</v>
      </c>
    </row>
    <row r="6" customFormat="false" ht="15" hidden="false" customHeight="false" outlineLevel="0" collapsed="false">
      <c r="B6" s="23" t="s">
        <v>26</v>
      </c>
      <c r="C6" s="23" t="s">
        <v>27</v>
      </c>
      <c r="D6" s="23" t="s">
        <v>28</v>
      </c>
    </row>
    <row r="7" customFormat="false" ht="15" hidden="false" customHeight="false" outlineLevel="0" collapsed="false">
      <c r="B7" s="24" t="s">
        <v>137</v>
      </c>
      <c r="C7" s="7" t="n">
        <v>16</v>
      </c>
      <c r="D7" s="25" t="s">
        <v>138</v>
      </c>
    </row>
    <row r="8" customFormat="false" ht="15" hidden="false" customHeight="false" outlineLevel="0" collapsed="false">
      <c r="B8" s="24" t="s">
        <v>139</v>
      </c>
      <c r="C8" s="7" t="n">
        <v>3</v>
      </c>
      <c r="D8" s="25" t="s">
        <v>140</v>
      </c>
    </row>
    <row r="9" customFormat="false" ht="15" hidden="false" customHeight="false" outlineLevel="0" collapsed="false">
      <c r="B9" s="26" t="s">
        <v>141</v>
      </c>
      <c r="C9" s="7" t="n">
        <v>1</v>
      </c>
      <c r="D9" s="27" t="s">
        <v>142</v>
      </c>
    </row>
    <row r="10" customFormat="false" ht="15" hidden="false" customHeight="false" outlineLevel="0" collapsed="false">
      <c r="B10" s="26" t="s">
        <v>143</v>
      </c>
      <c r="C10" s="7" t="n">
        <v>5</v>
      </c>
      <c r="D10" s="25" t="s">
        <v>144</v>
      </c>
    </row>
    <row r="13" customFormat="false" ht="19.4" hidden="false" customHeight="false" outlineLevel="0" collapsed="false">
      <c r="B13" s="22" t="s">
        <v>145</v>
      </c>
    </row>
    <row r="14" customFormat="false" ht="15" hidden="false" customHeight="false" outlineLevel="0" collapsed="false">
      <c r="B14" s="23" t="s">
        <v>146</v>
      </c>
      <c r="C14" s="23" t="s">
        <v>4</v>
      </c>
      <c r="D14" s="23" t="s">
        <v>147</v>
      </c>
    </row>
    <row r="15" customFormat="false" ht="15" hidden="false" customHeight="false" outlineLevel="0" collapsed="false">
      <c r="B15" s="26" t="s">
        <v>6</v>
      </c>
      <c r="C15" s="14" t="n">
        <f aca="false">$C$8*설정!$C$7</f>
        <v>30</v>
      </c>
      <c r="D15" s="25" t="s">
        <v>148</v>
      </c>
    </row>
    <row r="16" customFormat="false" ht="15" hidden="false" customHeight="false" outlineLevel="0" collapsed="false">
      <c r="B16" s="26" t="s">
        <v>149</v>
      </c>
      <c r="C16" s="14" t="n">
        <f aca="false">$C$9*설정!$C$8</f>
        <v>50</v>
      </c>
      <c r="D16" s="25" t="s">
        <v>150</v>
      </c>
    </row>
    <row r="17" customFormat="false" ht="15" hidden="false" customHeight="false" outlineLevel="0" collapsed="false">
      <c r="B17" s="26" t="s">
        <v>12</v>
      </c>
      <c r="C17" s="14" t="n">
        <f aca="false">$C$8*$C$10*설정!$C$10</f>
        <v>15</v>
      </c>
      <c r="D17" s="25" t="s">
        <v>151</v>
      </c>
    </row>
    <row r="18" customFormat="false" ht="15" hidden="false" customHeight="false" outlineLevel="0" collapsed="false">
      <c r="B18" s="28" t="s">
        <v>152</v>
      </c>
      <c r="C18" s="29" t="n">
        <f aca="false">SUM(C15:C17)</f>
        <v>95</v>
      </c>
      <c r="D18" s="30" t="s">
        <v>153</v>
      </c>
    </row>
    <row r="21" customFormat="false" ht="19.4" hidden="false" customHeight="false" outlineLevel="0" collapsed="false">
      <c r="B21" s="22" t="s">
        <v>154</v>
      </c>
    </row>
    <row r="22" customFormat="false" ht="15" hidden="false" customHeight="false" outlineLevel="0" collapsed="false">
      <c r="B22" s="23" t="s">
        <v>155</v>
      </c>
      <c r="C22" s="23" t="s">
        <v>156</v>
      </c>
      <c r="D22" s="23" t="s">
        <v>157</v>
      </c>
      <c r="E22" s="23" t="s">
        <v>158</v>
      </c>
    </row>
    <row r="23" customFormat="false" ht="15" hidden="false" customHeight="false" outlineLevel="0" collapsed="false">
      <c r="B23" s="26" t="s">
        <v>159</v>
      </c>
      <c r="C23" s="16" t="n">
        <f aca="false">C18</f>
        <v>95</v>
      </c>
      <c r="D23" s="31" t="s">
        <v>160</v>
      </c>
      <c r="E23" s="25" t="s">
        <v>161</v>
      </c>
    </row>
    <row r="24" customFormat="false" ht="15" hidden="false" customHeight="false" outlineLevel="0" collapsed="false">
      <c r="B24" s="26" t="s">
        <v>162</v>
      </c>
      <c r="C24" s="16" t="n">
        <f aca="false">C18*C7</f>
        <v>1520</v>
      </c>
      <c r="D24" s="31" t="s">
        <v>160</v>
      </c>
      <c r="E24" s="25" t="s">
        <v>163</v>
      </c>
    </row>
    <row r="25" customFormat="false" ht="15" hidden="false" customHeight="false" outlineLevel="0" collapsed="false">
      <c r="B25" s="26" t="s">
        <v>164</v>
      </c>
      <c r="C25" s="16" t="n">
        <f aca="false">IFERROR(개인별정산!P31/COUNTA(개인별정산!B6:B30),0)</f>
        <v>118</v>
      </c>
      <c r="D25" s="31" t="n">
        <f aca="false">IFERROR(개인별정산!P31/COUNTA(개인별정산!B6:B30),0)</f>
        <v>118</v>
      </c>
      <c r="E25" s="27" t="s">
        <v>165</v>
      </c>
    </row>
    <row r="26" customFormat="false" ht="15" hidden="false" customHeight="false" outlineLevel="0" collapsed="false">
      <c r="B26" s="26" t="s">
        <v>166</v>
      </c>
      <c r="C26" s="32" t="n">
        <f aca="false">IFERROR(C23/C25,0)</f>
        <v>0.805084745762712</v>
      </c>
      <c r="D26" s="33" t="n">
        <f aca="false">0</f>
        <v>0</v>
      </c>
      <c r="E26" s="27" t="s">
        <v>167</v>
      </c>
    </row>
    <row r="27" customFormat="false" ht="15" hidden="false" customHeight="false" outlineLevel="0" collapsed="false">
      <c r="B27" s="26" t="s">
        <v>168</v>
      </c>
      <c r="C27" s="34" t="n">
        <f aca="false">IFERROR(C18/설정!$C$24,0)</f>
        <v>0.19</v>
      </c>
      <c r="D27" s="35" t="n">
        <f aca="false">0</f>
        <v>0</v>
      </c>
      <c r="E27" s="25" t="s">
        <v>169</v>
      </c>
    </row>
    <row r="30" customFormat="false" ht="15" hidden="false" customHeight="false" outlineLevel="0" collapsed="false">
      <c r="B30" s="22" t="s">
        <v>170</v>
      </c>
    </row>
    <row r="31" customFormat="false" ht="15" hidden="false" customHeight="false" outlineLevel="0" collapsed="false">
      <c r="B31" s="36" t="s">
        <v>171</v>
      </c>
    </row>
    <row r="32" customFormat="false" ht="15" hidden="false" customHeight="false" outlineLevel="0" collapsed="false">
      <c r="B32" s="37" t="s">
        <v>172</v>
      </c>
    </row>
    <row r="33" customFormat="false" ht="15" hidden="false" customHeight="false" outlineLevel="0" collapsed="false">
      <c r="B33" s="37" t="s">
        <v>173</v>
      </c>
    </row>
    <row r="34" customFormat="false" ht="15" hidden="false" customHeight="false" outlineLevel="0" collapsed="false">
      <c r="B34" s="36" t="s">
        <v>174</v>
      </c>
    </row>
    <row r="35" customFormat="false" ht="15" hidden="false" customHeight="false" outlineLevel="0" collapsed="false">
      <c r="B35" s="37" t="s">
        <v>175</v>
      </c>
    </row>
    <row r="36" customFormat="false" ht="15" hidden="false" customHeight="false" outlineLevel="0" collapsed="false">
      <c r="B36" s="36" t="s">
        <v>176</v>
      </c>
    </row>
    <row r="37" customFormat="false" ht="15" hidden="false" customHeight="false" outlineLevel="0" collapsed="false">
      <c r="B37" s="37" t="s">
        <v>177</v>
      </c>
    </row>
    <row r="39" customFormat="false" ht="15" hidden="false" customHeight="false" outlineLevel="0" collapsed="false">
      <c r="B39" s="37" t="s">
        <v>178</v>
      </c>
    </row>
    <row r="40" customFormat="false" ht="15" hidden="false" customHeight="false" outlineLevel="0" collapsed="false">
      <c r="B40" s="38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6"/>
    <col collapsed="false" customWidth="true" hidden="false" outlineLevel="0" max="4" min="4" style="1" width="16"/>
    <col collapsed="false" customWidth="true" hidden="false" outlineLevel="0" max="5" min="5" style="1" width="34"/>
  </cols>
  <sheetData>
    <row r="2" customFormat="false" ht="19.5" hidden="false" customHeight="true" outlineLevel="0" collapsed="false">
      <c r="B2" s="2" t="s">
        <v>180</v>
      </c>
    </row>
    <row r="3" customFormat="false" ht="15" hidden="false" customHeight="true" outlineLevel="0" collapsed="false">
      <c r="B3" s="3" t="s">
        <v>181</v>
      </c>
    </row>
    <row r="5" customFormat="false" ht="15" hidden="false" customHeight="true" outlineLevel="0" collapsed="false">
      <c r="B5" s="5" t="s">
        <v>155</v>
      </c>
      <c r="C5" s="5" t="s">
        <v>27</v>
      </c>
      <c r="D5" s="5" t="s">
        <v>182</v>
      </c>
    </row>
    <row r="6" customFormat="false" ht="15" hidden="false" customHeight="true" outlineLevel="0" collapsed="false">
      <c r="B6" s="6" t="s">
        <v>183</v>
      </c>
      <c r="C6" s="39" t="n">
        <f aca="false">COUNTA(개인별정산!B6:B30)</f>
        <v>25</v>
      </c>
      <c r="D6" s="10" t="s">
        <v>184</v>
      </c>
    </row>
    <row r="7" customFormat="false" ht="15" hidden="false" customHeight="true" outlineLevel="0" collapsed="false">
      <c r="B7" s="6" t="s">
        <v>185</v>
      </c>
      <c r="C7" s="39" t="n">
        <f aca="false">COUNTIF(활동로그!E6:E30,"&gt;0")</f>
        <v>20</v>
      </c>
      <c r="D7" s="8" t="s">
        <v>186</v>
      </c>
    </row>
    <row r="8" customFormat="false" ht="15" hidden="false" customHeight="true" outlineLevel="0" collapsed="false">
      <c r="B8" s="6" t="s">
        <v>187</v>
      </c>
      <c r="C8" s="39" t="n">
        <f aca="false">COUNTIF(활동로그!F6:F30,1)</f>
        <v>20</v>
      </c>
      <c r="D8" s="8" t="s">
        <v>188</v>
      </c>
    </row>
    <row r="9" customFormat="false" ht="15" hidden="false" customHeight="true" outlineLevel="0" collapsed="false">
      <c r="B9" s="6" t="s">
        <v>189</v>
      </c>
      <c r="C9" s="39" t="n">
        <f aca="false">개인별정산!P31</f>
        <v>2950</v>
      </c>
      <c r="D9" s="10" t="s">
        <v>184</v>
      </c>
    </row>
    <row r="10" customFormat="false" ht="15" hidden="false" customHeight="true" outlineLevel="0" collapsed="false">
      <c r="B10" s="13" t="s">
        <v>190</v>
      </c>
      <c r="C10" s="39" t="n">
        <f aca="false">IFERROR(개인별정산!P31/COUNTA(개인별정산!B6:B30),0)</f>
        <v>118</v>
      </c>
      <c r="D10" s="10" t="s">
        <v>184</v>
      </c>
    </row>
    <row r="11" customFormat="false" ht="15" hidden="false" customHeight="true" outlineLevel="0" collapsed="false">
      <c r="B11" s="6" t="s">
        <v>191</v>
      </c>
      <c r="C11" s="39" t="n">
        <f aca="false">MAX(개인별정산!P6:P30)</f>
        <v>319</v>
      </c>
      <c r="D11" s="10" t="s">
        <v>184</v>
      </c>
    </row>
    <row r="12" customFormat="false" ht="15" hidden="false" customHeight="true" outlineLevel="0" collapsed="false">
      <c r="B12" s="6" t="s">
        <v>192</v>
      </c>
      <c r="C12" s="39" t="n">
        <f aca="false">COUNTIF(개인별정산!O6:O30,"초과")</f>
        <v>0</v>
      </c>
      <c r="D12" s="10" t="s">
        <v>193</v>
      </c>
    </row>
    <row r="13" customFormat="false" ht="15" hidden="false" customHeight="true" outlineLevel="0" collapsed="false">
      <c r="B13" s="6" t="s">
        <v>194</v>
      </c>
      <c r="C13" s="40" t="n">
        <f aca="false">IFERROR(SUM(LARGE(개인별정산!P6:P30,1),LARGE(개인별정산!P6:P30,2),LARGE(개인별정산!P6:P30,3))/개인별정산!P31,0)</f>
        <v>0.294915254237288</v>
      </c>
      <c r="D13" s="10" t="s">
        <v>195</v>
      </c>
    </row>
    <row r="14" customFormat="false" ht="15" hidden="false" customHeight="true" outlineLevel="0" collapsed="false">
      <c r="B14" s="6" t="s">
        <v>196</v>
      </c>
      <c r="C14" s="40" t="n">
        <f aca="false">IFERROR(SUM(개인별정산!F6:F30)/개인별정산!N31,0)</f>
        <v>0.338983050847458</v>
      </c>
      <c r="D14" s="10" t="s">
        <v>197</v>
      </c>
    </row>
    <row r="17" customFormat="false" ht="18.75" hidden="false" customHeight="true" outlineLevel="0" collapsed="false">
      <c r="B17" s="9" t="s">
        <v>198</v>
      </c>
    </row>
    <row r="18" customFormat="false" ht="15" hidden="false" customHeight="true" outlineLevel="0" collapsed="false">
      <c r="B18" s="5" t="s">
        <v>46</v>
      </c>
      <c r="C18" s="5" t="s">
        <v>199</v>
      </c>
      <c r="D18" s="5" t="s">
        <v>132</v>
      </c>
      <c r="E18" s="5" t="s">
        <v>158</v>
      </c>
    </row>
    <row r="19" customFormat="false" ht="15" hidden="false" customHeight="true" outlineLevel="0" collapsed="false">
      <c r="B19" s="41" t="s">
        <v>200</v>
      </c>
      <c r="C19" s="42" t="s">
        <v>201</v>
      </c>
      <c r="D19" s="39" t="n">
        <f aca="false">개인별정산!P6</f>
        <v>276</v>
      </c>
      <c r="E19" s="8" t="s">
        <v>202</v>
      </c>
    </row>
    <row r="20" customFormat="false" ht="15" hidden="false" customHeight="true" outlineLevel="0" collapsed="false">
      <c r="B20" s="41" t="s">
        <v>203</v>
      </c>
      <c r="C20" s="42" t="s">
        <v>204</v>
      </c>
      <c r="D20" s="39" t="n">
        <f aca="false">개인별정산!P7</f>
        <v>275</v>
      </c>
      <c r="E20" s="8" t="s">
        <v>205</v>
      </c>
    </row>
    <row r="21" customFormat="false" ht="15" hidden="false" customHeight="true" outlineLevel="0" collapsed="false">
      <c r="B21" s="41" t="s">
        <v>206</v>
      </c>
      <c r="C21" s="42" t="s">
        <v>207</v>
      </c>
      <c r="D21" s="39" t="n">
        <f aca="false">개인별정산!P8</f>
        <v>119</v>
      </c>
      <c r="E21" s="8" t="s">
        <v>208</v>
      </c>
    </row>
    <row r="22" customFormat="false" ht="15" hidden="false" customHeight="true" outlineLevel="0" collapsed="false">
      <c r="B22" s="41" t="s">
        <v>209</v>
      </c>
      <c r="C22" s="42" t="s">
        <v>210</v>
      </c>
      <c r="D22" s="39" t="n">
        <f aca="false">개인별정산!P9</f>
        <v>319</v>
      </c>
      <c r="E22" s="10" t="s">
        <v>211</v>
      </c>
    </row>
    <row r="23" customFormat="false" ht="15" hidden="false" customHeight="true" outlineLevel="0" collapsed="false">
      <c r="B23" s="41" t="s">
        <v>212</v>
      </c>
      <c r="C23" s="42" t="s">
        <v>213</v>
      </c>
      <c r="D23" s="39" t="n">
        <f aca="false">개인별정산!P10</f>
        <v>39</v>
      </c>
      <c r="E23" s="8" t="s">
        <v>214</v>
      </c>
    </row>
    <row r="26" customFormat="false" ht="15" hidden="false" customHeight="true" outlineLevel="0" collapsed="false">
      <c r="B26" s="9" t="s">
        <v>215</v>
      </c>
    </row>
    <row r="27" customFormat="false" ht="15" hidden="false" customHeight="true" outlineLevel="0" collapsed="false">
      <c r="B27" s="43" t="s">
        <v>216</v>
      </c>
    </row>
    <row r="28" customFormat="false" ht="15" hidden="false" customHeight="true" outlineLevel="0" collapsed="false">
      <c r="B28" s="44" t="s">
        <v>217</v>
      </c>
    </row>
    <row r="29" customFormat="false" ht="15" hidden="false" customHeight="true" outlineLevel="0" collapsed="false">
      <c r="B29" s="43" t="s">
        <v>218</v>
      </c>
    </row>
    <row r="30" customFormat="false" ht="15" hidden="false" customHeight="true" outlineLevel="0" collapsed="false">
      <c r="B30" s="45" t="s">
        <v>219</v>
      </c>
    </row>
    <row r="31" customFormat="false" ht="15" hidden="false" customHeight="true" outlineLevel="0" collapsed="false">
      <c r="B31" s="43" t="s">
        <v>220</v>
      </c>
    </row>
    <row r="32" customFormat="false" ht="15" hidden="false" customHeight="true" outlineLevel="0" collapsed="false">
      <c r="B32" s="45" t="s">
        <v>221</v>
      </c>
    </row>
    <row r="33" customFormat="false" ht="15" hidden="false" customHeight="true" outlineLevel="0" collapsed="false">
      <c r="B33" s="43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2026-08-10T05:20:38Z</dcterms:created>
  <dc:creator>openpyxl</dc:creator>
  <dc:description/>
  <dc:language>en-US</dc:language>
  <cp:lastModifiedBy/>
  <dcterms:modified xsi:type="dcterms:W3CDTF">2026-08-11T00:10:30Z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