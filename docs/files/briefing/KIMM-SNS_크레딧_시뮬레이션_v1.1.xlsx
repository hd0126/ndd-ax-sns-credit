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활동로그" sheetId="2" state="visible" r:id="rId4"/>
    <sheet name="개인별정산" sheetId="3" state="visible" r:id="rId5"/>
    <sheet name="사전등록 시나리오" sheetId="4" state="visible" r:id="rId6"/>
    <sheet name="요약" sheetId="5" state="visible" r:id="rId7"/>
    <sheet name="평가점수배분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4" authorId="0">
      <text>
        <r>
          <rPr>
            <sz val="10"/>
            <rFont val="Arial"/>
            <family val="2"/>
          </rPr>
          <t xml:space="preserve">§3 </t>
        </r>
        <r>
          <rPr>
            <sz val="10"/>
            <rFont val="Noto Sans CJK SC"/>
            <family val="2"/>
          </rPr>
          <t xml:space="preserve">최소 안전장치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이 값을 초과한 분은 정산에서 잘립니다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<sst xmlns="http://schemas.openxmlformats.org/spreadsheetml/2006/main" count="315" uniqueCount="262">
  <si>
    <t xml:space="preserve">크레딧 배분 설정</t>
  </si>
  <si>
    <t xml:space="preserve">노란색 셀만 수정하십시오. 값을 바꾸면 모든 시트가 자동 재계산됩니다.</t>
  </si>
  <si>
    <r>
      <rPr>
        <b val="true"/>
        <sz val="12"/>
        <color rgb="FF1A1A1A"/>
        <rFont val="맑은 고딕"/>
        <family val="0"/>
        <charset val="1"/>
      </rPr>
      <t xml:space="preserve">K-Credit — </t>
    </r>
    <r>
      <rPr>
        <b val="true"/>
        <sz val="12"/>
        <color rgb="FF1A1A1A"/>
        <rFont val="Noto Sans CJK SC"/>
        <family val="2"/>
      </rPr>
      <t xml:space="preserve">지식 콘텐츠 기여</t>
    </r>
  </si>
  <si>
    <t xml:space="preserve">행위</t>
  </si>
  <si>
    <t xml:space="preserve">점수</t>
  </si>
  <si>
    <t xml:space="preserve">설계 의도</t>
  </si>
  <si>
    <t xml:space="preserve">글 작성</t>
  </si>
  <si>
    <t xml:space="preserve">기본 단위</t>
  </si>
  <si>
    <t xml:space="preserve">첫 글 작성 (생애 1회)</t>
  </si>
  <si>
    <t xml:space="preserve">진입 장벽 제거 — 최대 병목에 최대 유인</t>
  </si>
  <si>
    <t xml:space="preserve">댓글 작성</t>
  </si>
  <si>
    <t xml:space="preserve">논의 참여 유도</t>
  </si>
  <si>
    <t xml:space="preserve">좋아요 받음</t>
  </si>
  <si>
    <t xml:space="preserve">반응 신호 (주 재원 아님)</t>
  </si>
  <si>
    <t xml:space="preserve">좋아요 누름</t>
  </si>
  <si>
    <t xml:space="preserve">읽기 중심 참여 유도 — 2차 팀회의 절충(누름만 상향)</t>
  </si>
  <si>
    <t xml:space="preserve">위키 전환(published)</t>
  </si>
  <si>
    <t xml:space="preserve">검토 통과 = 품질 보증</t>
  </si>
  <si>
    <t xml:space="preserve">타 문서가 인용·참조</t>
  </si>
  <si>
    <t xml:space="preserve">재사용 실증</t>
  </si>
  <si>
    <r>
      <rPr>
        <b val="true"/>
        <sz val="12"/>
        <color rgb="FF1A1A1A"/>
        <rFont val="맑은 고딕"/>
        <family val="0"/>
        <charset val="1"/>
      </rPr>
      <t xml:space="preserve">S-Credit — </t>
    </r>
    <r>
      <rPr>
        <b val="true"/>
        <sz val="12"/>
        <color rgb="FF1A1A1A"/>
        <rFont val="Noto Sans CJK SC"/>
        <family val="2"/>
      </rPr>
      <t xml:space="preserve">교육</t>
    </r>
    <r>
      <rPr>
        <b val="true"/>
        <sz val="12"/>
        <color rgb="FF1A1A1A"/>
        <rFont val="맑은 고딕"/>
        <family val="0"/>
        <charset val="1"/>
      </rPr>
      <t xml:space="preserve">·</t>
    </r>
    <r>
      <rPr>
        <b val="true"/>
        <sz val="12"/>
        <color rgb="FF1A1A1A"/>
        <rFont val="Noto Sans CJK SC"/>
        <family val="2"/>
      </rPr>
      <t xml:space="preserve">전파 기여</t>
    </r>
  </si>
  <si>
    <t xml:space="preserve">교육·코칭 진행 (1회)</t>
  </si>
  <si>
    <t xml:space="preserve">직접 전파 · AX혁신팀 주요 활동</t>
  </si>
  <si>
    <t xml:space="preserve">타 부서 도입 지원</t>
  </si>
  <si>
    <t xml:space="preserve">확산 실증 — 가장 높은 가치</t>
  </si>
  <si>
    <t xml:space="preserve">안전장치</t>
  </si>
  <si>
    <t xml:space="preserve">항목</t>
  </si>
  <si>
    <t xml:space="preserve">값</t>
  </si>
  <si>
    <t xml:space="preserve">비고</t>
  </si>
  <si>
    <t xml:space="preserve">월 상한 (1인)</t>
  </si>
  <si>
    <t xml:space="preserve">소수 독점 방지 — 부정 방지 아님</t>
  </si>
  <si>
    <t xml:space="preserve">동일인 좋아요 1일 제한</t>
  </si>
  <si>
    <t xml:space="preserve">동일 작성자에 대한 1일 최대 횟수</t>
  </si>
  <si>
    <t xml:space="preserve">시뮬레이션 규모</t>
  </si>
  <si>
    <t xml:space="preserve">전체 인원</t>
  </si>
  <si>
    <r>
      <rPr>
        <sz val="9"/>
        <color rgb="FF6B6B6B"/>
        <rFont val="맑은 고딕"/>
        <family val="0"/>
        <charset val="1"/>
      </rPr>
      <t xml:space="preserve">KIMM </t>
    </r>
    <r>
      <rPr>
        <sz val="9"/>
        <color rgb="FF6B6B6B"/>
        <rFont val="Noto Sans CJK SC"/>
        <family val="2"/>
      </rPr>
      <t xml:space="preserve">전 직원 가정</t>
    </r>
  </si>
  <si>
    <t xml:space="preserve">작성자 수</t>
  </si>
  <si>
    <t xml:space="preserve">초기 현실 가정 (전체의 5%)</t>
  </si>
  <si>
    <t xml:space="preserve">열람 참여자 수</t>
  </si>
  <si>
    <t xml:space="preserve">좋아요를 누르는 인원</t>
  </si>
  <si>
    <t xml:space="preserve">※ 규모 값은 참고용 표기입니다. 실제 시뮬레이션 대상은 '활동로그' 시트의 데이터입니다.</t>
  </si>
  <si>
    <t xml:space="preserve">※ 노란 셀(점수·안전장치)을 바꾸면 개인별정산·요약 시트가 즉시 재계산됩니다.</t>
  </si>
  <si>
    <t xml:space="preserve">※ v1.1: '좋아요 누름' 1→2 상향(2차 팀회의 ③ 절충 — 받음 상향은 인기투표화 위험으로 보류).</t>
  </si>
  <si>
    <t xml:space="preserve">활동 로그 (가상 데이터)</t>
  </si>
  <si>
    <r>
      <rPr>
        <sz val="10"/>
        <color rgb="FF6B6B6B"/>
        <rFont val="맑은 고딕"/>
        <family val="0"/>
        <charset val="1"/>
      </rPr>
      <t xml:space="preserve">8</t>
    </r>
    <r>
      <rPr>
        <sz val="10"/>
        <color rgb="FF6B6B6B"/>
        <rFont val="Noto Sans CJK SC"/>
        <family val="2"/>
      </rPr>
      <t xml:space="preserve">월 런칭 후에는 이 시트를 실제 플랫폼 로그로 교체하면 그대로 정산 도구가 됩니다</t>
    </r>
    <r>
      <rPr>
        <sz val="10"/>
        <color rgb="FF6B6B6B"/>
        <rFont val="맑은 고딕"/>
        <family val="0"/>
        <charset val="1"/>
      </rPr>
      <t xml:space="preserve">.</t>
    </r>
  </si>
  <si>
    <t xml:space="preserve">ID</t>
  </si>
  <si>
    <t xml:space="preserve">이름</t>
  </si>
  <si>
    <t xml:space="preserve">유형</t>
  </si>
  <si>
    <t xml:space="preserve">글 수</t>
  </si>
  <si>
    <t xml:space="preserve">첫 글 여부</t>
  </si>
  <si>
    <t xml:space="preserve">댓글 수</t>
  </si>
  <si>
    <t xml:space="preserve">받은 좋아요</t>
  </si>
  <si>
    <t xml:space="preserve">누른 좋아요</t>
  </si>
  <si>
    <t xml:space="preserve">위키 전환</t>
  </si>
  <si>
    <t xml:space="preserve">인용 받음</t>
  </si>
  <si>
    <t xml:space="preserve">교육 진행</t>
  </si>
  <si>
    <t xml:space="preserve">타부서 지원</t>
  </si>
  <si>
    <t xml:space="preserve">U001</t>
  </si>
  <si>
    <t xml:space="preserve">작성자 A</t>
  </si>
  <si>
    <t xml:space="preserve">우수 생산자</t>
  </si>
  <si>
    <t xml:space="preserve">양질의 글 · 독자 다수가 고르게 반응</t>
  </si>
  <si>
    <t xml:space="preserve">U002</t>
  </si>
  <si>
    <t xml:space="preserve">작성자 B</t>
  </si>
  <si>
    <t xml:space="preserve">다작형</t>
  </si>
  <si>
    <t xml:space="preserve">글 수는 많으나 건당 반응은 적음</t>
  </si>
  <si>
    <t xml:space="preserve">U003</t>
  </si>
  <si>
    <t xml:space="preserve">작성자 C</t>
  </si>
  <si>
    <t xml:space="preserve">신규 진입자</t>
  </si>
  <si>
    <t xml:space="preserve">첫 글 1건 · 반응 양호</t>
  </si>
  <si>
    <t xml:space="preserve">U004</t>
  </si>
  <si>
    <t xml:space="preserve">작성자 D</t>
  </si>
  <si>
    <t xml:space="preserve">교육 중심</t>
  </si>
  <si>
    <t xml:space="preserve">교육·코칭 중심 · S-Credit 비중 큼</t>
  </si>
  <si>
    <t xml:space="preserve">U005</t>
  </si>
  <si>
    <t xml:space="preserve">열람자 E</t>
  </si>
  <si>
    <t xml:space="preserve">열람 전용</t>
  </si>
  <si>
    <t xml:space="preserve">글 없음, 반응만 참여</t>
  </si>
  <si>
    <t xml:space="preserve">U006</t>
  </si>
  <si>
    <t xml:space="preserve">참여자 6</t>
  </si>
  <si>
    <t xml:space="preserve">일반</t>
  </si>
  <si>
    <t xml:space="preserve">U007</t>
  </si>
  <si>
    <t xml:space="preserve">참여자 7</t>
  </si>
  <si>
    <t xml:space="preserve">U008</t>
  </si>
  <si>
    <t xml:space="preserve">참여자 8</t>
  </si>
  <si>
    <t xml:space="preserve">U009</t>
  </si>
  <si>
    <t xml:space="preserve">참여자 9</t>
  </si>
  <si>
    <t xml:space="preserve">U010</t>
  </si>
  <si>
    <t xml:space="preserve">참여자 10</t>
  </si>
  <si>
    <t xml:space="preserve">U011</t>
  </si>
  <si>
    <t xml:space="preserve">참여자 11</t>
  </si>
  <si>
    <t xml:space="preserve">U012</t>
  </si>
  <si>
    <t xml:space="preserve">참여자 12</t>
  </si>
  <si>
    <t xml:space="preserve">U013</t>
  </si>
  <si>
    <t xml:space="preserve">참여자 13</t>
  </si>
  <si>
    <t xml:space="preserve">U014</t>
  </si>
  <si>
    <t xml:space="preserve">참여자 14</t>
  </si>
  <si>
    <t xml:space="preserve">U015</t>
  </si>
  <si>
    <t xml:space="preserve">참여자 15</t>
  </si>
  <si>
    <t xml:space="preserve">U016</t>
  </si>
  <si>
    <t xml:space="preserve">참여자 16</t>
  </si>
  <si>
    <t xml:space="preserve">U017</t>
  </si>
  <si>
    <t xml:space="preserve">참여자 17</t>
  </si>
  <si>
    <t xml:space="preserve">U018</t>
  </si>
  <si>
    <t xml:space="preserve">참여자 18</t>
  </si>
  <si>
    <t xml:space="preserve">U019</t>
  </si>
  <si>
    <t xml:space="preserve">참여자 19</t>
  </si>
  <si>
    <t xml:space="preserve">U020</t>
  </si>
  <si>
    <t xml:space="preserve">참여자 20</t>
  </si>
  <si>
    <t xml:space="preserve">U021</t>
  </si>
  <si>
    <t xml:space="preserve">참여자 21</t>
  </si>
  <si>
    <t xml:space="preserve">U022</t>
  </si>
  <si>
    <t xml:space="preserve">참여자 22</t>
  </si>
  <si>
    <t xml:space="preserve">U023</t>
  </si>
  <si>
    <t xml:space="preserve">참여자 23</t>
  </si>
  <si>
    <t xml:space="preserve">U024</t>
  </si>
  <si>
    <t xml:space="preserve">참여자 24</t>
  </si>
  <si>
    <t xml:space="preserve">U025</t>
  </si>
  <si>
    <t xml:space="preserve">참여자 25</t>
  </si>
  <si>
    <r>
      <rPr>
        <sz val="10"/>
        <color rgb="FF6B6B6B"/>
        <rFont val="맑은 고딕"/>
        <family val="0"/>
        <charset val="1"/>
      </rPr>
      <t xml:space="preserve">※ '</t>
    </r>
    <r>
      <rPr>
        <sz val="10"/>
        <color rgb="FF6B6B6B"/>
        <rFont val="Noto Sans CJK SC"/>
        <family val="2"/>
      </rPr>
      <t xml:space="preserve">첫 글 여부</t>
    </r>
    <r>
      <rPr>
        <sz val="10"/>
        <color rgb="FF6B6B6B"/>
        <rFont val="맑은 고딕"/>
        <family val="0"/>
        <charset val="1"/>
      </rPr>
      <t xml:space="preserve">' 1 = </t>
    </r>
    <r>
      <rPr>
        <sz val="10"/>
        <color rgb="FF6B6B6B"/>
        <rFont val="Noto Sans CJK SC"/>
        <family val="2"/>
      </rPr>
      <t xml:space="preserve">생애 첫 글 작성 </t>
    </r>
    <r>
      <rPr>
        <sz val="10"/>
        <color rgb="FF6B6B6B"/>
        <rFont val="맑은 고딕"/>
        <family val="0"/>
        <charset val="1"/>
      </rPr>
      <t xml:space="preserve">(</t>
    </r>
    <r>
      <rPr>
        <sz val="10"/>
        <color rgb="FF6B6B6B"/>
        <rFont val="Noto Sans CJK SC"/>
        <family val="2"/>
      </rPr>
      <t xml:space="preserve">보너스 대상</t>
    </r>
    <r>
      <rPr>
        <sz val="10"/>
        <color rgb="FF6B6B6B"/>
        <rFont val="맑은 고딕"/>
        <family val="0"/>
        <charset val="1"/>
      </rPr>
      <t xml:space="preserve">) · 0 = </t>
    </r>
    <r>
      <rPr>
        <sz val="10"/>
        <color rgb="FF6B6B6B"/>
        <rFont val="Noto Sans CJK SC"/>
        <family val="2"/>
      </rPr>
      <t xml:space="preserve">해당 없음</t>
    </r>
  </si>
  <si>
    <t xml:space="preserve">※ 상위 5행은 회의 설명용 대표 유형이며, 나머지는 무작위 생성한 일반 참여자입니다.</t>
  </si>
  <si>
    <t xml:space="preserve">개인별 크레딧 정산</t>
  </si>
  <si>
    <t xml:space="preserve">설정 시트의 점수를 바꾸면 이 시트가 자동으로 다시 계산됩니다.</t>
  </si>
  <si>
    <t xml:space="preserve">글</t>
  </si>
  <si>
    <t xml:space="preserve">첫글보너스</t>
  </si>
  <si>
    <t xml:space="preserve">댓글</t>
  </si>
  <si>
    <t xml:space="preserve">좋아요받음</t>
  </si>
  <si>
    <t xml:space="preserve">좋아요누름</t>
  </si>
  <si>
    <t xml:space="preserve">위키전환</t>
  </si>
  <si>
    <t xml:space="preserve">인용</t>
  </si>
  <si>
    <r>
      <rPr>
        <b val="true"/>
        <sz val="10"/>
        <color rgb="FF1A1A1A"/>
        <rFont val="맑은 고딕"/>
        <family val="0"/>
        <charset val="1"/>
      </rPr>
      <t xml:space="preserve">K-Credit </t>
    </r>
    <r>
      <rPr>
        <b val="true"/>
        <sz val="10"/>
        <color rgb="FF1A1A1A"/>
        <rFont val="Noto Sans CJK SC"/>
        <family val="2"/>
      </rPr>
      <t xml:space="preserve">소계</t>
    </r>
  </si>
  <si>
    <r>
      <rPr>
        <b val="true"/>
        <sz val="10"/>
        <color rgb="FF1A1A1A"/>
        <rFont val="맑은 고딕"/>
        <family val="0"/>
        <charset val="1"/>
      </rPr>
      <t xml:space="preserve">S-Credit </t>
    </r>
    <r>
      <rPr>
        <b val="true"/>
        <sz val="10"/>
        <color rgb="FF1A1A1A"/>
        <rFont val="Noto Sans CJK SC"/>
        <family val="2"/>
      </rPr>
      <t xml:space="preserve">소계</t>
    </r>
  </si>
  <si>
    <t xml:space="preserve">합계(상한 전)</t>
  </si>
  <si>
    <t xml:space="preserve">월 상한 적용</t>
  </si>
  <si>
    <t xml:space="preserve">최종 크레딧</t>
  </si>
  <si>
    <t xml:space="preserve">합계</t>
  </si>
  <si>
    <t xml:space="preserve">사전 등록분 크레딧 처리 시나리오</t>
  </si>
  <si>
    <t xml:space="preserve">운영(안) §5.2 결정용 — AX혁신팀이 런칭 전 사전 등록한 콘텐츠에 크레딧을 부여할지 비교</t>
  </si>
  <si>
    <t xml:space="preserve">가정</t>
  </si>
  <si>
    <r>
      <rPr>
        <sz val="10"/>
        <rFont val="맑은 고딕"/>
        <family val="0"/>
        <charset val="1"/>
      </rPr>
      <t xml:space="preserve">AX</t>
    </r>
    <r>
      <rPr>
        <sz val="10"/>
        <rFont val="Noto Sans CJK SC"/>
        <family val="2"/>
      </rPr>
      <t xml:space="preserve">혁신팀 인원</t>
    </r>
  </si>
  <si>
    <t xml:space="preserve">기획보고서 v3 명단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</si>
  <si>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인당 사전 등록 건수</t>
    </r>
  </si>
  <si>
    <t xml:space="preserve">런칭 시점 30~50건 확보 목표 기준</t>
  </si>
  <si>
    <t xml:space="preserve">사전 등록분 첫글 해당</t>
  </si>
  <si>
    <r>
      <rPr>
        <sz val="9"/>
        <color rgb="FF6B6B6B"/>
        <rFont val="맑은 고딕"/>
        <family val="0"/>
        <charset val="1"/>
      </rPr>
      <t xml:space="preserve">1 = </t>
    </r>
    <r>
      <rPr>
        <sz val="9"/>
        <color rgb="FF6B6B6B"/>
        <rFont val="Noto Sans CJK SC"/>
        <family val="2"/>
      </rPr>
      <t xml:space="preserve">사전 등록이 생애 첫 글이 됨 </t>
    </r>
    <r>
      <rPr>
        <sz val="9"/>
        <color rgb="FF6B6B6B"/>
        <rFont val="맑은 고딕"/>
        <family val="0"/>
        <charset val="1"/>
      </rPr>
      <t xml:space="preserve">/ 0 = </t>
    </r>
    <r>
      <rPr>
        <sz val="9"/>
        <color rgb="FF6B6B6B"/>
        <rFont val="Noto Sans CJK SC"/>
        <family val="2"/>
      </rPr>
      <t xml:space="preserve">아님</t>
    </r>
  </si>
  <si>
    <t xml:space="preserve">사전 등록분 예상 좋아요</t>
  </si>
  <si>
    <t xml:space="preserve">런칭 직후 열람 집중으로 건당 반응</t>
  </si>
  <si>
    <t xml:space="preserve">혁신팀 1인당 사전 등록 점수</t>
  </si>
  <si>
    <t xml:space="preserve">구성 요소</t>
  </si>
  <si>
    <t xml:space="preserve">산식</t>
  </si>
  <si>
    <t xml:space="preserve">등록 건수 × 글 작성 점수</t>
  </si>
  <si>
    <t xml:space="preserve">첫 글 보너스</t>
  </si>
  <si>
    <t xml:space="preserve">첫글 해당 여부 × 보너스</t>
  </si>
  <si>
    <t xml:space="preserve">등록 건수 × 건당 좋아요 × 점수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</si>
  <si>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인당 합계</t>
    </r>
  </si>
  <si>
    <t xml:space="preserve">사전 등록만으로 획득하는 점수</t>
  </si>
  <si>
    <t xml:space="preserve">부여 / 미부여 비교</t>
  </si>
  <si>
    <t xml:space="preserve">지표</t>
  </si>
  <si>
    <t xml:space="preserve">① 부여</t>
  </si>
  <si>
    <t xml:space="preserve">② 미부여</t>
  </si>
  <si>
    <t xml:space="preserve">해석</t>
  </si>
  <si>
    <t xml:space="preserve">혁신팀 1인 점수 (사전분)</t>
  </si>
  <si>
    <t xml:space="preserve">0</t>
  </si>
  <si>
    <t xml:space="preserve">미부여 시 사전 등록은 점수에 반영되지 않음</t>
  </si>
  <si>
    <t xml:space="preserve">혁신팀 16인 합계</t>
  </si>
  <si>
    <t xml:space="preserve">제도 전체에 유입되는 점수 총량</t>
  </si>
  <si>
    <t xml:space="preserve">일반 참여자 평균 (참고)</t>
  </si>
  <si>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개인별정산</t>
    </r>
    <r>
      <rPr>
        <sz val="9"/>
        <color rgb="FF6B6B6B"/>
        <rFont val="맑은 고딕"/>
        <family val="0"/>
        <charset val="1"/>
      </rPr>
      <t xml:space="preserve">' </t>
    </r>
    <r>
      <rPr>
        <sz val="9"/>
        <color rgb="FF6B6B6B"/>
        <rFont val="Noto Sans CJK SC"/>
        <family val="2"/>
      </rPr>
      <t xml:space="preserve">시트 기준 </t>
    </r>
    <r>
      <rPr>
        <sz val="9"/>
        <color rgb="FF6B6B6B"/>
        <rFont val="맑은 고딕"/>
        <family val="0"/>
        <charset val="1"/>
      </rPr>
      <t xml:space="preserve">1</t>
    </r>
    <r>
      <rPr>
        <sz val="9"/>
        <color rgb="FF6B6B6B"/>
        <rFont val="Noto Sans CJK SC"/>
        <family val="2"/>
      </rPr>
      <t xml:space="preserve">인 평균</t>
    </r>
  </si>
  <si>
    <t xml:space="preserve">혁신팀 1인 / 일반 평균 배수</t>
  </si>
  <si>
    <r>
      <rPr>
        <sz val="9"/>
        <color rgb="FF6B6B6B"/>
        <rFont val="맑은 고딕"/>
        <family val="0"/>
        <charset val="1"/>
      </rPr>
      <t xml:space="preserve">1.0</t>
    </r>
    <r>
      <rPr>
        <sz val="9"/>
        <color rgb="FF6B6B6B"/>
        <rFont val="Noto Sans CJK SC"/>
        <family val="2"/>
      </rPr>
      <t xml:space="preserve">배를 넘으면 사전 등록만으로 평균을 상회</t>
    </r>
  </si>
  <si>
    <t xml:space="preserve">월 상한(500) 대비 소진율</t>
  </si>
  <si>
    <t xml:space="preserve">사전 등록만으로 상한의 몇 %를 채우는가</t>
  </si>
  <si>
    <t xml:space="preserve">판단 참고</t>
  </si>
  <si>
    <t xml:space="preserve">① 부여 시 — 혁신팀 16명이 런칭 첫 달 상위권을 차지할 가능성이 높다.</t>
  </si>
  <si>
    <t xml:space="preserve">   사전 등록은 '플랫폼 준비 작업'이지 자발적 참여가 아니므로, 일반 참여자에게는</t>
  </si>
  <si>
    <t xml:space="preserve">   따라잡을 수 없는 격차로 보일 수 있다.</t>
  </si>
  <si>
    <t xml:space="preserve">② 미부여 시 — 사전 등록 협조에 대한 유인이 없다. 다만 이번 건은 기존 모임의</t>
  </si>
  <si>
    <t xml:space="preserve">   축적 자료를 옮기는 작업이어서 추가 부담이 크지 않아, 유인 부재의 영향은 제한적이다.</t>
  </si>
  <si>
    <t xml:space="preserve">③ 절충(운영안 제안) — 크레딧 산정에서는 제외하되 「플랫폼 구축 기여」로 별도 기록하여</t>
  </si>
  <si>
    <t xml:space="preserve">   연말 단장 추천 시 근거 자료로 활용한다.</t>
  </si>
  <si>
    <t xml:space="preserve">※ 노란 셀(가정)을 바꾸면 비교 수치가 즉시 재계산됩니다.</t>
  </si>
  <si>
    <r>
      <rPr>
        <sz val="9"/>
        <color rgb="FF6B6B6B"/>
        <rFont val="맑은 고딕"/>
        <family val="0"/>
        <charset val="1"/>
      </rPr>
      <t xml:space="preserve">※ '</t>
    </r>
    <r>
      <rPr>
        <sz val="9"/>
        <color rgb="FF6B6B6B"/>
        <rFont val="Noto Sans CJK SC"/>
        <family val="2"/>
      </rPr>
      <t xml:space="preserve">일반 참여자 평균</t>
    </r>
    <r>
      <rPr>
        <sz val="9"/>
        <color rgb="FF6B6B6B"/>
        <rFont val="맑은 고딕"/>
        <family val="0"/>
        <charset val="1"/>
      </rPr>
      <t xml:space="preserve">'</t>
    </r>
    <r>
      <rPr>
        <sz val="9"/>
        <color rgb="FF6B6B6B"/>
        <rFont val="Noto Sans CJK SC"/>
        <family val="2"/>
      </rPr>
      <t xml:space="preserve">은 활동로그의 가상 데이터 기준이므로 참고값입니다</t>
    </r>
    <r>
      <rPr>
        <sz val="9"/>
        <color rgb="FF6B6B6B"/>
        <rFont val="맑은 고딕"/>
        <family val="0"/>
        <charset val="1"/>
      </rPr>
      <t xml:space="preserve">.</t>
    </r>
  </si>
  <si>
    <t xml:space="preserve">시뮬레이션 요약</t>
  </si>
  <si>
    <t xml:space="preserve">설정 시트의 점수 배분을 조정하면서 아래 지표 변화를 확인하십시오.</t>
  </si>
  <si>
    <t xml:space="preserve">판단 기준</t>
  </si>
  <si>
    <t xml:space="preserve">참여자 수 (로그 등재)</t>
  </si>
  <si>
    <t xml:space="preserve">—</t>
  </si>
  <si>
    <t xml:space="preserve">글을 쓴 사람 수</t>
  </si>
  <si>
    <t xml:space="preserve">초기 20~30명이면 정상</t>
  </si>
  <si>
    <t xml:space="preserve">첫 글 보너스 수령자</t>
  </si>
  <si>
    <t xml:space="preserve">많을수록 신규 진입이 활발</t>
  </si>
  <si>
    <t xml:space="preserve">전체 크레딧 총량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</si>
  <si>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평균</t>
    </r>
  </si>
  <si>
    <t xml:space="preserve">최고 점수</t>
  </si>
  <si>
    <t xml:space="preserve">월 상한 도달자</t>
  </si>
  <si>
    <r>
      <rPr>
        <sz val="9"/>
        <color rgb="FF6B6B6B"/>
        <rFont val="맑은 고딕"/>
        <family val="0"/>
        <charset val="1"/>
      </rPr>
      <t xml:space="preserve">0~2</t>
    </r>
    <r>
      <rPr>
        <sz val="9"/>
        <color rgb="FF6B6B6B"/>
        <rFont val="Noto Sans CJK SC"/>
        <family val="2"/>
      </rPr>
      <t xml:space="preserve">명이 적정 </t>
    </r>
    <r>
      <rPr>
        <sz val="9"/>
        <color rgb="FF6B6B6B"/>
        <rFont val="맑은 고딕"/>
        <family val="0"/>
        <charset val="1"/>
      </rPr>
      <t xml:space="preserve">· 3</t>
    </r>
    <r>
      <rPr>
        <sz val="9"/>
        <color rgb="FF6B6B6B"/>
        <rFont val="Noto Sans CJK SC"/>
        <family val="2"/>
      </rPr>
      <t xml:space="preserve">명 이상이면 상한 상향 검토</t>
    </r>
  </si>
  <si>
    <t xml:space="preserve">상위 3인 점유율</t>
  </si>
  <si>
    <r>
      <rPr>
        <sz val="9"/>
        <color rgb="FF6B6B6B"/>
        <rFont val="맑은 고딕"/>
        <family val="0"/>
        <charset val="1"/>
      </rPr>
      <t xml:space="preserve">40% </t>
    </r>
    <r>
      <rPr>
        <sz val="9"/>
        <color rgb="FF6B6B6B"/>
        <rFont val="Noto Sans CJK SC"/>
        <family val="2"/>
      </rPr>
      <t xml:space="preserve">초과 시 독점 우려</t>
    </r>
  </si>
  <si>
    <t xml:space="preserve">첫글보너스 비중</t>
  </si>
  <si>
    <r>
      <rPr>
        <sz val="9"/>
        <color rgb="FF6B6B6B"/>
        <rFont val="맑은 고딕"/>
        <family val="0"/>
        <charset val="1"/>
      </rPr>
      <t xml:space="preserve">30% </t>
    </r>
    <r>
      <rPr>
        <sz val="9"/>
        <color rgb="FF6B6B6B"/>
        <rFont val="Noto Sans CJK SC"/>
        <family val="2"/>
      </rPr>
      <t xml:space="preserve">초과 시 보너스 과다 검토</t>
    </r>
  </si>
  <si>
    <t xml:space="preserve">대표 유형 비교 (회의 설명용)</t>
  </si>
  <si>
    <t xml:space="preserve">활동 요약</t>
  </si>
  <si>
    <t xml:space="preserve">작성자 A · 우수 생산자</t>
  </si>
  <si>
    <t xml:space="preserve">글 3 · 좋아요 45 · 위키 2</t>
  </si>
  <si>
    <t xml:space="preserve">고품질 다수 반응 — 최상위</t>
  </si>
  <si>
    <t xml:space="preserve">작성자 B · 다작형</t>
  </si>
  <si>
    <t xml:space="preserve">글 15 · 좋아요 20 · 위키 1</t>
  </si>
  <si>
    <t xml:space="preserve">물량 대비 효율 낮음</t>
  </si>
  <si>
    <t xml:space="preserve">작성자 C · 신규 진입자</t>
  </si>
  <si>
    <t xml:space="preserve">글 1 · 좋아요 18 · 첫글</t>
  </si>
  <si>
    <t xml:space="preserve">첫글 보너스로 진입 유인 확보</t>
  </si>
  <si>
    <t xml:space="preserve">작성자 D · 교육 중심</t>
  </si>
  <si>
    <t xml:space="preserve">교육 3회 · 타부서 지원 1</t>
  </si>
  <si>
    <r>
      <rPr>
        <sz val="9"/>
        <color rgb="FF6B6B6B"/>
        <rFont val="맑은 고딕"/>
        <family val="0"/>
        <charset val="1"/>
      </rPr>
      <t xml:space="preserve">S-Credit </t>
    </r>
    <r>
      <rPr>
        <sz val="9"/>
        <color rgb="FF6B6B6B"/>
        <rFont val="Noto Sans CJK SC"/>
        <family val="2"/>
      </rPr>
      <t xml:space="preserve">비중이 큰 유형</t>
    </r>
  </si>
  <si>
    <t xml:space="preserve">열람자 E · 열람 전용</t>
  </si>
  <si>
    <t xml:space="preserve">글 0 · 좋아요 21회 누름</t>
  </si>
  <si>
    <t xml:space="preserve">소액이나 참여 자체를 인정</t>
  </si>
  <si>
    <t xml:space="preserve">회의에서 확인할 논점</t>
  </si>
  <si>
    <t xml:space="preserve">① 첫 글 보너스 점수 — 설정 시트 C8 을 50 → 20 으로 낮추면 신규 진입자(작성자 C) 점수와</t>
  </si>
  <si>
    <r>
      <rPr>
        <sz val="9"/>
        <color rgb="FF6B6B6B"/>
        <rFont val="맑은 고딕"/>
        <family val="0"/>
        <charset val="1"/>
      </rPr>
      <t xml:space="preserve">   '</t>
    </r>
    <r>
      <rPr>
        <sz val="9"/>
        <color rgb="FF6B6B6B"/>
        <rFont val="Noto Sans CJK SC"/>
        <family val="2"/>
      </rPr>
      <t xml:space="preserve">첫글보너스 비중</t>
    </r>
    <r>
      <rPr>
        <sz val="9"/>
        <color rgb="FF6B6B6B"/>
        <rFont val="맑은 고딕"/>
        <family val="0"/>
        <charset val="1"/>
      </rPr>
      <t xml:space="preserve">' </t>
    </r>
    <r>
      <rPr>
        <sz val="9"/>
        <color rgb="FF6B6B6B"/>
        <rFont val="Noto Sans CJK SC"/>
        <family val="2"/>
      </rPr>
      <t xml:space="preserve">지표가 어떻게 변하는지 확인</t>
    </r>
    <r>
      <rPr>
        <sz val="9"/>
        <color rgb="FF6B6B6B"/>
        <rFont val="맑은 고딕"/>
        <family val="0"/>
        <charset val="1"/>
      </rPr>
      <t xml:space="preserve">. </t>
    </r>
    <r>
      <rPr>
        <sz val="9"/>
        <color rgb="FF6B6B6B"/>
        <rFont val="Noto Sans CJK SC"/>
        <family val="2"/>
      </rPr>
      <t xml:space="preserve">현재 비중이 </t>
    </r>
    <r>
      <rPr>
        <sz val="9"/>
        <color rgb="FF6B6B6B"/>
        <rFont val="맑은 고딕"/>
        <family val="0"/>
        <charset val="1"/>
      </rPr>
      <t xml:space="preserve">30%</t>
    </r>
    <r>
      <rPr>
        <sz val="9"/>
        <color rgb="FF6B6B6B"/>
        <rFont val="Noto Sans CJK SC"/>
        <family val="2"/>
      </rPr>
      <t xml:space="preserve">를 넘으면 보너스 과다</t>
    </r>
    <r>
      <rPr>
        <sz val="9"/>
        <color rgb="FF6B6B6B"/>
        <rFont val="맑은 고딕"/>
        <family val="0"/>
        <charset val="1"/>
      </rPr>
      <t xml:space="preserve">.</t>
    </r>
  </si>
  <si>
    <t xml:space="preserve">② 다작 대비 품질 — 현재 배분에서는 글 3건(작성자 A)과 글 15건(작성자 B)의 점수 차이가 크지 않다.</t>
  </si>
  <si>
    <t xml:space="preserve">   글 작성 점수를 낮추고 위키 전환 점수를 올리면 품질 쪽으로 기운다.</t>
  </si>
  <si>
    <t xml:space="preserve">③ 월 상한 수준 — 상한 도달자가 0명이면 상한이 사실상 작동하지 않는 것이다.</t>
  </si>
  <si>
    <t xml:space="preserve">   실제 로그가 쌓인 뒤 상위권 분포를 보고 재조정한다.</t>
  </si>
  <si>
    <t xml:space="preserve">④ 열람 전용 참여(열람자 E) — 글 없이 좋아요만 눌러도 점수가 쌓인다. 이 수준이 적정한지 판단 필요.</t>
  </si>
  <si>
    <t xml:space="preserve">단장 부여 점수 배분 (평가점수배분 시트)</t>
  </si>
  <si>
    <t xml:space="preserve">점수 수령 인원</t>
  </si>
  <si>
    <t xml:space="preserve">소진 점수 / 총 재원</t>
  </si>
  <si>
    <t xml:space="preserve">재원 내이면 전원 배분</t>
  </si>
  <si>
    <t xml:space="preserve">연구단장 부여 점수 — 규칙 기반 배분 시뮬레이션</t>
  </si>
  <si>
    <t xml:space="preserve">연구단장 의견(2026. 8.) 반영 — 노란 셀만 수정하십시오. 개인별정산의 최종 크레딧을 기준으로 자동 계산됩니다.</t>
  </si>
  <si>
    <t xml:space="preserve">배분 설정</t>
  </si>
  <si>
    <t xml:space="preserve">총 재원 (점)</t>
  </si>
  <si>
    <t xml:space="preserve">단장 부여 점수 총량 — "100점 내외"</t>
  </si>
  <si>
    <t xml:space="preserve">인당 최대 (점)</t>
  </si>
  <si>
    <t xml:space="preserve">0.5점 단위</t>
  </si>
  <si>
    <t xml:space="preserve">배분 단위 (점)</t>
  </si>
  <si>
    <t xml:space="preserve">올림·배분 모두 이 단위</t>
  </si>
  <si>
    <t xml:space="preserve">정규화 기준 순위</t>
  </si>
  <si>
    <t xml:space="preserve">1 = 최고점 기준 · 3 = 3위 점수 기준(상위 극단값 완화)</t>
  </si>
  <si>
    <t xml:space="preserve">정규화 기준 크레딧</t>
  </si>
  <si>
    <t xml:space="preserve">이 크레딧이 5.0점(인당 최대)으로 환산되는 기준</t>
  </si>
  <si>
    <t xml:space="preserve">배분 결과 (크레딧 내림차순)</t>
  </si>
  <si>
    <t xml:space="preserve">순위</t>
  </si>
  <si>
    <t xml:space="preserve">정규화 점수</t>
  </si>
  <si>
    <t xml:space="preserve">누적 소요</t>
  </si>
  <si>
    <t xml:space="preserve">배분 점수</t>
  </si>
  <si>
    <t xml:space="preserve">조정값(내부용)</t>
  </si>
  <si>
    <t xml:space="preserve">배분 요약</t>
  </si>
  <si>
    <t xml:space="preserve">점수를 받는 인원</t>
  </si>
  <si>
    <t xml:space="preserve">명</t>
  </si>
  <si>
    <t xml:space="preserve">소진 점수 합계</t>
  </si>
  <si>
    <t xml:space="preserve">잔여 재원</t>
  </si>
  <si>
    <t xml:space="preserve">점</t>
  </si>
  <si>
    <t xml:space="preserve">최고 배분 점수</t>
  </si>
  <si>
    <t xml:space="preserve">컷라인 크레딧(마지막 수령자)</t>
  </si>
  <si>
    <t xml:space="preserve">이 크레딧 미만은 배분 없음</t>
  </si>
  <si>
    <t xml:space="preserve">① 정규화 기준(D10) 1 ↔ 3 전환 — 3위 기준으로 바꾸면 1~2위는 인당 최대 5.0점으로 상한 처리되고,</t>
  </si>
  <si>
    <t xml:space="preserve">   중하위권 점수가 전반적으로 올라가 재원 소진이 빨라진다.</t>
  </si>
  <si>
    <t xml:space="preserve">② 총 재원(D7)을 낮춰(예: 20) 컷 발생 상황 확인 — 참여자가 늘면 실제로 발생할 상황의 예행.</t>
  </si>
  <si>
    <t xml:space="preserve">③ 동점자 처리 — 본 시뮬레이션은 ID 순서(첫 글 등록 순서의 대용)를 우선한다. 실제 규칙은 팀 논의로 확정.</t>
  </si>
  <si>
    <t xml:space="preserve">④ 재원 부족 시 마지막 수령자는 잔여분을 배분 단위로 내림하여 지급하는 방식을 (안)으로 구현하였다.</t>
  </si>
  <si>
    <t xml:space="preserve">⑤ 기준 크레딧의 기간(연간 누적 · 월 상한 적용 방식)은 운영안 §4.3의 결정 필요 사항 참조.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</si>
</sst>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%"/>
    <numFmt numFmtId="168" formatCode="0"/>
    <numFmt numFmtId="169" formatCode="0.0"/>
    <numFmt numFmtId="170" formatCode="0.000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Noto Sans CJK SC"/>
      <family val="2"/>
      <charset val="1"/>
    </font>
    <font>
      <sz val="10"/>
      <color rgb="FF6B6B6B"/>
      <name val="Noto Sans CJK SC"/>
      <family val="2"/>
      <charset val="1"/>
    </font>
    <font>
      <b val="true"/>
      <sz val="12"/>
      <color rgb="FF1A1A1A"/>
      <name val="맑은 고딕"/>
      <family val="0"/>
      <charset val="1"/>
    </font>
    <font>
      <b val="true"/>
      <sz val="12"/>
      <color rgb="FF1A1A1A"/>
      <name val="Noto Sans CJK SC"/>
      <family val="2"/>
    </font>
    <font>
      <b val="true"/>
      <sz val="10"/>
      <color rgb="FF1A1A1A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0000FF"/>
      <name val="Arial"/>
      <family val="0"/>
      <charset val="1"/>
    </font>
    <font>
      <sz val="9"/>
      <color rgb="FF6B6B6B"/>
      <name val="Noto Sans CJK SC"/>
      <family val="2"/>
      <charset val="1"/>
    </font>
    <font>
      <b val="true"/>
      <sz val="12"/>
      <color rgb="FF1A1A1A"/>
      <name val="Noto Sans CJK SC"/>
      <family val="2"/>
      <charset val="1"/>
    </font>
    <font>
      <sz val="9"/>
      <color rgb="FF6B6B6B"/>
      <name val="맑은 고딕"/>
      <family val="0"/>
      <charset val="1"/>
    </font>
    <font>
      <sz val="9"/>
      <color rgb="FF6B6B6B"/>
      <name val="Noto Sans CJK SC"/>
      <family val="2"/>
    </font>
    <font>
      <sz val="9"/>
      <color rgb="FFAAAAAA"/>
      <name val="Noto Sans CJK SC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sz val="10"/>
      <color rgb="FF6B6B6B"/>
      <name val="맑은 고딕"/>
      <family val="0"/>
      <charset val="1"/>
    </font>
    <font>
      <sz val="10"/>
      <color rgb="FF6B6B6B"/>
      <name val="Noto Sans CJK SC"/>
      <family val="2"/>
    </font>
    <font>
      <b val="true"/>
      <sz val="10"/>
      <color rgb="FF1A1A1A"/>
      <name val="맑은 고딕"/>
      <family val="0"/>
      <charset val="1"/>
    </font>
    <font>
      <sz val="10"/>
      <name val="맑은 고딕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7A1F3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b val="true"/>
      <sz val="11"/>
      <color rgb="FF7A1F30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Noto Sans CJK SC"/>
      <family val="2"/>
      <charset val="1"/>
    </font>
    <font>
      <sz val="9"/>
      <name val="Noto Sans CJK SC"/>
      <family val="2"/>
      <charset val="1"/>
    </font>
    <font>
      <b val="true"/>
      <sz val="10"/>
      <name val="Noto Sans CJK SC"/>
      <family val="0"/>
      <charset val="1"/>
    </font>
    <font>
      <sz val="10"/>
      <name val="Noto Sans CJK SC"/>
      <family val="0"/>
      <charset val="1"/>
    </font>
    <font>
      <sz val="10"/>
      <color rgb="FF7A7A7A"/>
      <name val="Noto Sans CJK SC"/>
      <family val="0"/>
      <charset val="1"/>
    </font>
    <font>
      <b val="true"/>
      <sz val="16"/>
      <color rgb="FF1A1A1A"/>
      <name val="Noto Sans CJK SC"/>
      <family val="0"/>
      <charset val="1"/>
    </font>
    <font>
      <b val="true"/>
      <sz val="11"/>
      <color rgb="FF8B1A1A"/>
      <name val="Noto Sans CJK S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EFF0"/>
        <bgColor rgb="FFFFF7CC"/>
      </patternFill>
    </fill>
    <fill>
      <patternFill patternType="solid">
        <fgColor rgb="FFFFF7CC"/>
        <bgColor rgb="FFF2EF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EFF0"/>
      <rgbColor rgb="FFFF0000"/>
      <rgbColor rgb="FF00FF00"/>
      <rgbColor rgb="FF0000FF"/>
      <rgbColor rgb="FFFFFF00"/>
      <rgbColor rgb="FFFF00FF"/>
      <rgbColor rgb="FF00FFFF"/>
      <rgbColor rgb="FF7A1F30"/>
      <rgbColor rgb="FF008000"/>
      <rgbColor rgb="FF000080"/>
      <rgbColor rgb="FF808000"/>
      <rgbColor rgb="FF800080"/>
      <rgbColor rgb="FF008080"/>
      <rgbColor rgb="FFBFBFBF"/>
      <rgbColor rgb="FF7A7A7A"/>
      <rgbColor rgb="FF9999FF"/>
      <rgbColor rgb="FF993366"/>
      <rgbColor rgb="FFFFF7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AAAAAA"/>
      <rgbColor rgb="FF003366"/>
      <rgbColor rgb="FF339966"/>
      <rgbColor rgb="FF003300"/>
      <rgbColor rgb="FF333300"/>
      <rgbColor rgb="FF8B1A1A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46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8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</row>
    <row r="7" customFormat="false" ht="15" hidden="false" customHeight="true" outlineLevel="0" collapsed="false">
      <c r="B7" s="6" t="s">
        <v>6</v>
      </c>
      <c r="C7" s="7" t="n">
        <v>10</v>
      </c>
      <c r="D7" s="8" t="s">
        <v>7</v>
      </c>
    </row>
    <row r="8" customFormat="false" ht="15" hidden="false" customHeight="true" outlineLevel="0" collapsed="false">
      <c r="B8" s="6" t="s">
        <v>8</v>
      </c>
      <c r="C8" s="7" t="n">
        <v>50</v>
      </c>
      <c r="D8" s="8" t="s">
        <v>9</v>
      </c>
    </row>
    <row r="9" customFormat="false" ht="15" hidden="false" customHeight="true" outlineLevel="0" collapsed="false">
      <c r="B9" s="6" t="s">
        <v>10</v>
      </c>
      <c r="C9" s="7" t="n">
        <v>3</v>
      </c>
      <c r="D9" s="8" t="s">
        <v>11</v>
      </c>
    </row>
    <row r="10" customFormat="false" ht="15" hidden="false" customHeight="true" outlineLevel="0" collapsed="false">
      <c r="B10" s="6" t="s">
        <v>12</v>
      </c>
      <c r="C10" s="7" t="n">
        <v>1</v>
      </c>
      <c r="D10" s="8" t="s">
        <v>13</v>
      </c>
    </row>
    <row r="11" customFormat="false" ht="15" hidden="false" customHeight="true" outlineLevel="0" collapsed="false">
      <c r="B11" s="6" t="s">
        <v>14</v>
      </c>
      <c r="C11" s="7" t="n">
        <v>2</v>
      </c>
      <c r="D11" s="8" t="s">
        <v>15</v>
      </c>
    </row>
    <row r="12" customFormat="false" ht="15" hidden="false" customHeight="true" outlineLevel="0" collapsed="false">
      <c r="B12" s="6" t="s">
        <v>16</v>
      </c>
      <c r="C12" s="7" t="n">
        <v>30</v>
      </c>
      <c r="D12" s="8" t="s">
        <v>17</v>
      </c>
    </row>
    <row r="13" customFormat="false" ht="15" hidden="false" customHeight="true" outlineLevel="0" collapsed="false">
      <c r="B13" s="6" t="s">
        <v>18</v>
      </c>
      <c r="C13" s="7" t="n">
        <v>10</v>
      </c>
      <c r="D13" s="8" t="s">
        <v>19</v>
      </c>
    </row>
    <row r="16" customFormat="false" ht="18.75" hidden="false" customHeight="true" outlineLevel="0" collapsed="false">
      <c r="B16" s="4" t="s">
        <v>20</v>
      </c>
    </row>
    <row r="17" customFormat="false" ht="15" hidden="false" customHeight="true" outlineLevel="0" collapsed="false">
      <c r="B17" s="5" t="s">
        <v>3</v>
      </c>
      <c r="C17" s="5" t="s">
        <v>4</v>
      </c>
      <c r="D17" s="5" t="s">
        <v>5</v>
      </c>
    </row>
    <row r="18" customFormat="false" ht="15" hidden="false" customHeight="true" outlineLevel="0" collapsed="false">
      <c r="B18" s="6" t="s">
        <v>21</v>
      </c>
      <c r="C18" s="7" t="n">
        <v>30</v>
      </c>
      <c r="D18" s="8" t="s">
        <v>22</v>
      </c>
    </row>
    <row r="19" customFormat="false" ht="15" hidden="false" customHeight="true" outlineLevel="0" collapsed="false">
      <c r="B19" s="6" t="s">
        <v>23</v>
      </c>
      <c r="C19" s="7" t="n">
        <v>50</v>
      </c>
      <c r="D19" s="8" t="s">
        <v>24</v>
      </c>
    </row>
    <row r="22" customFormat="false" ht="15" hidden="false" customHeight="true" outlineLevel="0" collapsed="false">
      <c r="B22" s="9" t="s">
        <v>25</v>
      </c>
    </row>
    <row r="23" customFormat="false" ht="15" hidden="false" customHeight="true" outlineLevel="0" collapsed="false">
      <c r="B23" s="5" t="s">
        <v>26</v>
      </c>
      <c r="C23" s="5" t="s">
        <v>27</v>
      </c>
      <c r="D23" s="5" t="s">
        <v>28</v>
      </c>
    </row>
    <row r="24" customFormat="false" ht="15" hidden="false" customHeight="true" outlineLevel="0" collapsed="false">
      <c r="B24" s="6" t="s">
        <v>29</v>
      </c>
      <c r="C24" s="7" t="n">
        <v>500</v>
      </c>
      <c r="D24" s="8" t="s">
        <v>30</v>
      </c>
    </row>
    <row r="25" customFormat="false" ht="15" hidden="false" customHeight="true" outlineLevel="0" collapsed="false">
      <c r="B25" s="6" t="s">
        <v>31</v>
      </c>
      <c r="C25" s="7" t="n">
        <v>3</v>
      </c>
      <c r="D25" s="8" t="s">
        <v>32</v>
      </c>
    </row>
    <row r="28" customFormat="false" ht="15" hidden="false" customHeight="true" outlineLevel="0" collapsed="false">
      <c r="B28" s="9" t="s">
        <v>33</v>
      </c>
    </row>
    <row r="29" customFormat="false" ht="15" hidden="false" customHeight="true" outlineLevel="0" collapsed="false">
      <c r="B29" s="5" t="s">
        <v>26</v>
      </c>
      <c r="C29" s="5" t="s">
        <v>27</v>
      </c>
      <c r="D29" s="5" t="s">
        <v>28</v>
      </c>
    </row>
    <row r="30" customFormat="false" ht="15" hidden="false" customHeight="true" outlineLevel="0" collapsed="false">
      <c r="B30" s="6" t="s">
        <v>34</v>
      </c>
      <c r="C30" s="7" t="n">
        <v>500</v>
      </c>
      <c r="D30" s="10" t="s">
        <v>35</v>
      </c>
    </row>
    <row r="31" customFormat="false" ht="15" hidden="false" customHeight="true" outlineLevel="0" collapsed="false">
      <c r="B31" s="6" t="s">
        <v>36</v>
      </c>
      <c r="C31" s="7" t="n">
        <v>25</v>
      </c>
      <c r="D31" s="8" t="s">
        <v>37</v>
      </c>
    </row>
    <row r="32" customFormat="false" ht="15" hidden="false" customHeight="true" outlineLevel="0" collapsed="false">
      <c r="B32" s="6" t="s">
        <v>38</v>
      </c>
      <c r="C32" s="7" t="n">
        <v>120</v>
      </c>
      <c r="D32" s="8" t="s">
        <v>39</v>
      </c>
    </row>
    <row r="34" customFormat="false" ht="15" hidden="false" customHeight="true" outlineLevel="0" collapsed="false">
      <c r="B34" s="3" t="s">
        <v>40</v>
      </c>
    </row>
    <row r="35" customFormat="false" ht="15" hidden="false" customHeight="true" outlineLevel="0" collapsed="false">
      <c r="B35" s="3" t="s">
        <v>41</v>
      </c>
    </row>
    <row r="36" customFormat="false" ht="15" hidden="false" customHeight="false" outlineLevel="0" collapsed="false">
      <c r="B36" s="1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2" min="11" style="1" width="10"/>
    <col collapsed="false" customWidth="true" hidden="false" outlineLevel="0" max="13" min="13" style="1" width="11"/>
    <col collapsed="false" customWidth="true" hidden="false" outlineLevel="0" max="14" min="14" style="1" width="34"/>
  </cols>
  <sheetData>
    <row r="2" customFormat="false" ht="23.25" hidden="false" customHeight="true" outlineLevel="0" collapsed="false">
      <c r="B2" s="2" t="s">
        <v>43</v>
      </c>
    </row>
    <row r="3" customFormat="false" ht="15" hidden="false" customHeight="true" outlineLevel="0" collapsed="false">
      <c r="B3" s="12" t="s">
        <v>44</v>
      </c>
    </row>
    <row r="5" customFormat="false" ht="15" hidden="false" customHeight="true" outlineLevel="0" collapsed="false">
      <c r="B5" s="13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28</v>
      </c>
    </row>
    <row r="6" customFormat="false" ht="15" hidden="false" customHeight="true" outlineLevel="0" collapsed="false">
      <c r="B6" s="14" t="s">
        <v>57</v>
      </c>
      <c r="C6" s="6" t="s">
        <v>58</v>
      </c>
      <c r="D6" s="6" t="s">
        <v>59</v>
      </c>
      <c r="E6" s="15" t="n">
        <v>3</v>
      </c>
      <c r="F6" s="15" t="n">
        <v>1</v>
      </c>
      <c r="G6" s="15" t="n">
        <v>12</v>
      </c>
      <c r="H6" s="15" t="n">
        <v>45</v>
      </c>
      <c r="I6" s="15" t="n">
        <v>25</v>
      </c>
      <c r="J6" s="15" t="n">
        <v>2</v>
      </c>
      <c r="K6" s="15" t="n">
        <v>3</v>
      </c>
      <c r="L6" s="15" t="n">
        <v>0</v>
      </c>
      <c r="M6" s="15" t="n">
        <v>0</v>
      </c>
      <c r="N6" s="6" t="s">
        <v>60</v>
      </c>
    </row>
    <row r="7" customFormat="false" ht="15" hidden="false" customHeight="true" outlineLevel="0" collapsed="false">
      <c r="B7" s="14" t="s">
        <v>61</v>
      </c>
      <c r="C7" s="6" t="s">
        <v>62</v>
      </c>
      <c r="D7" s="6" t="s">
        <v>63</v>
      </c>
      <c r="E7" s="15" t="n">
        <v>15</v>
      </c>
      <c r="F7" s="15" t="n">
        <v>1</v>
      </c>
      <c r="G7" s="15" t="n">
        <v>5</v>
      </c>
      <c r="H7" s="15" t="n">
        <v>20</v>
      </c>
      <c r="I7" s="15" t="n">
        <v>10</v>
      </c>
      <c r="J7" s="15" t="n">
        <v>1</v>
      </c>
      <c r="K7" s="15" t="n">
        <v>0</v>
      </c>
      <c r="L7" s="15" t="n">
        <v>0</v>
      </c>
      <c r="M7" s="15" t="n">
        <v>0</v>
      </c>
      <c r="N7" s="6" t="s">
        <v>64</v>
      </c>
    </row>
    <row r="8" customFormat="false" ht="15" hidden="false" customHeight="true" outlineLevel="0" collapsed="false">
      <c r="B8" s="14" t="s">
        <v>65</v>
      </c>
      <c r="C8" s="6" t="s">
        <v>66</v>
      </c>
      <c r="D8" s="6" t="s">
        <v>67</v>
      </c>
      <c r="E8" s="15" t="n">
        <v>1</v>
      </c>
      <c r="F8" s="15" t="n">
        <v>1</v>
      </c>
      <c r="G8" s="15" t="n">
        <v>2</v>
      </c>
      <c r="H8" s="15" t="n">
        <v>18</v>
      </c>
      <c r="I8" s="15" t="n">
        <v>5</v>
      </c>
      <c r="J8" s="15" t="n">
        <v>1</v>
      </c>
      <c r="K8" s="15" t="n">
        <v>0</v>
      </c>
      <c r="L8" s="15" t="n">
        <v>0</v>
      </c>
      <c r="M8" s="15" t="n">
        <v>0</v>
      </c>
      <c r="N8" s="6" t="s">
        <v>68</v>
      </c>
    </row>
    <row r="9" customFormat="false" ht="15" hidden="false" customHeight="true" outlineLevel="0" collapsed="false">
      <c r="B9" s="14" t="s">
        <v>69</v>
      </c>
      <c r="C9" s="6" t="s">
        <v>70</v>
      </c>
      <c r="D9" s="6" t="s">
        <v>71</v>
      </c>
      <c r="E9" s="15" t="n">
        <v>2</v>
      </c>
      <c r="F9" s="15" t="n">
        <v>1</v>
      </c>
      <c r="G9" s="15" t="n">
        <v>8</v>
      </c>
      <c r="H9" s="15" t="n">
        <v>15</v>
      </c>
      <c r="I9" s="15" t="n">
        <v>30</v>
      </c>
      <c r="J9" s="15" t="n">
        <v>1</v>
      </c>
      <c r="K9" s="15" t="n">
        <v>1</v>
      </c>
      <c r="L9" s="15" t="n">
        <v>3</v>
      </c>
      <c r="M9" s="15" t="n">
        <v>1</v>
      </c>
      <c r="N9" s="6" t="s">
        <v>72</v>
      </c>
    </row>
    <row r="10" customFormat="false" ht="15" hidden="false" customHeight="true" outlineLevel="0" collapsed="false">
      <c r="B10" s="14" t="s">
        <v>73</v>
      </c>
      <c r="C10" s="6" t="s">
        <v>74</v>
      </c>
      <c r="D10" s="6" t="s">
        <v>75</v>
      </c>
      <c r="E10" s="15" t="n">
        <v>0</v>
      </c>
      <c r="F10" s="15" t="n">
        <v>0</v>
      </c>
      <c r="G10" s="15" t="n">
        <v>6</v>
      </c>
      <c r="H10" s="15" t="n">
        <v>0</v>
      </c>
      <c r="I10" s="15" t="n">
        <v>21</v>
      </c>
      <c r="J10" s="15" t="n">
        <v>0</v>
      </c>
      <c r="K10" s="15" t="n">
        <v>0</v>
      </c>
      <c r="L10" s="15" t="n">
        <v>0</v>
      </c>
      <c r="M10" s="15" t="n">
        <v>0</v>
      </c>
      <c r="N10" s="6" t="s">
        <v>76</v>
      </c>
    </row>
    <row r="11" customFormat="false" ht="15" hidden="false" customHeight="true" outlineLevel="0" collapsed="false">
      <c r="B11" s="14" t="s">
        <v>77</v>
      </c>
      <c r="C11" s="6" t="s">
        <v>78</v>
      </c>
      <c r="D11" s="6" t="s">
        <v>79</v>
      </c>
      <c r="E11" s="15" t="n">
        <v>1</v>
      </c>
      <c r="F11" s="15" t="n">
        <v>1</v>
      </c>
      <c r="G11" s="15" t="n">
        <v>1</v>
      </c>
      <c r="H11" s="15" t="n">
        <v>6</v>
      </c>
      <c r="I11" s="15" t="n">
        <v>20</v>
      </c>
      <c r="J11" s="15" t="n">
        <v>0</v>
      </c>
      <c r="K11" s="15" t="n">
        <v>0</v>
      </c>
      <c r="L11" s="15" t="n">
        <v>0</v>
      </c>
      <c r="M11" s="15" t="n">
        <v>0</v>
      </c>
      <c r="N11" s="6"/>
    </row>
    <row r="12" customFormat="false" ht="15" hidden="false" customHeight="true" outlineLevel="0" collapsed="false">
      <c r="B12" s="14" t="s">
        <v>80</v>
      </c>
      <c r="C12" s="6" t="s">
        <v>81</v>
      </c>
      <c r="D12" s="6" t="s">
        <v>79</v>
      </c>
      <c r="E12" s="15" t="n">
        <v>1</v>
      </c>
      <c r="F12" s="15" t="n">
        <v>1</v>
      </c>
      <c r="G12" s="15" t="n">
        <v>4</v>
      </c>
      <c r="H12" s="15" t="n">
        <v>0</v>
      </c>
      <c r="I12" s="15" t="n">
        <v>16</v>
      </c>
      <c r="J12" s="15" t="n">
        <v>0</v>
      </c>
      <c r="K12" s="15" t="n">
        <v>0</v>
      </c>
      <c r="L12" s="15" t="n">
        <v>0</v>
      </c>
      <c r="M12" s="15" t="n">
        <v>0</v>
      </c>
      <c r="N12" s="6"/>
    </row>
    <row r="13" customFormat="false" ht="15" hidden="false" customHeight="true" outlineLevel="0" collapsed="false">
      <c r="B13" s="14" t="s">
        <v>82</v>
      </c>
      <c r="C13" s="6" t="s">
        <v>83</v>
      </c>
      <c r="D13" s="6" t="s">
        <v>79</v>
      </c>
      <c r="E13" s="15" t="n">
        <v>2</v>
      </c>
      <c r="F13" s="15" t="n">
        <v>1</v>
      </c>
      <c r="G13" s="15" t="n">
        <v>3</v>
      </c>
      <c r="H13" s="15" t="n">
        <v>2</v>
      </c>
      <c r="I13" s="15" t="n">
        <v>7</v>
      </c>
      <c r="J13" s="15" t="n">
        <v>0</v>
      </c>
      <c r="K13" s="15" t="n">
        <v>1</v>
      </c>
      <c r="L13" s="15" t="n">
        <v>1</v>
      </c>
      <c r="M13" s="15" t="n">
        <v>0</v>
      </c>
      <c r="N13" s="6"/>
    </row>
    <row r="14" customFormat="false" ht="15" hidden="false" customHeight="true" outlineLevel="0" collapsed="false">
      <c r="B14" s="14" t="s">
        <v>84</v>
      </c>
      <c r="C14" s="6" t="s">
        <v>85</v>
      </c>
      <c r="D14" s="6" t="s">
        <v>79</v>
      </c>
      <c r="E14" s="15" t="n">
        <v>0</v>
      </c>
      <c r="F14" s="15" t="n">
        <v>0</v>
      </c>
      <c r="G14" s="15" t="n">
        <v>6</v>
      </c>
      <c r="H14" s="15" t="n">
        <v>0</v>
      </c>
      <c r="I14" s="15" t="n">
        <v>18</v>
      </c>
      <c r="J14" s="15" t="n">
        <v>0</v>
      </c>
      <c r="K14" s="15" t="n">
        <v>0</v>
      </c>
      <c r="L14" s="15" t="n">
        <v>0</v>
      </c>
      <c r="M14" s="15" t="n">
        <v>0</v>
      </c>
      <c r="N14" s="6"/>
    </row>
    <row r="15" customFormat="false" ht="15" hidden="false" customHeight="true" outlineLevel="0" collapsed="false">
      <c r="B15" s="14" t="s">
        <v>86</v>
      </c>
      <c r="C15" s="6" t="s">
        <v>87</v>
      </c>
      <c r="D15" s="6" t="s">
        <v>79</v>
      </c>
      <c r="E15" s="15" t="n">
        <v>1</v>
      </c>
      <c r="F15" s="15" t="n">
        <v>1</v>
      </c>
      <c r="G15" s="15" t="n">
        <v>5</v>
      </c>
      <c r="H15" s="15" t="n">
        <v>0</v>
      </c>
      <c r="I15" s="15" t="n">
        <v>18</v>
      </c>
      <c r="J15" s="15" t="n">
        <v>1</v>
      </c>
      <c r="K15" s="15" t="n">
        <v>0</v>
      </c>
      <c r="L15" s="15" t="n">
        <v>0</v>
      </c>
      <c r="M15" s="15" t="n">
        <v>0</v>
      </c>
      <c r="N15" s="6"/>
    </row>
    <row r="16" customFormat="false" ht="15" hidden="false" customHeight="true" outlineLevel="0" collapsed="false">
      <c r="B16" s="14" t="s">
        <v>88</v>
      </c>
      <c r="C16" s="6" t="s">
        <v>89</v>
      </c>
      <c r="D16" s="6" t="s">
        <v>79</v>
      </c>
      <c r="E16" s="15" t="n">
        <v>0</v>
      </c>
      <c r="F16" s="15" t="n">
        <v>0</v>
      </c>
      <c r="G16" s="15" t="n">
        <v>4</v>
      </c>
      <c r="H16" s="15" t="n">
        <v>0</v>
      </c>
      <c r="I16" s="15" t="n">
        <v>4</v>
      </c>
      <c r="J16" s="15" t="n">
        <v>0</v>
      </c>
      <c r="K16" s="15" t="n">
        <v>0</v>
      </c>
      <c r="L16" s="15" t="n">
        <v>0</v>
      </c>
      <c r="M16" s="15" t="n">
        <v>0</v>
      </c>
      <c r="N16" s="6"/>
    </row>
    <row r="17" customFormat="false" ht="15" hidden="false" customHeight="true" outlineLevel="0" collapsed="false">
      <c r="B17" s="14" t="s">
        <v>90</v>
      </c>
      <c r="C17" s="6" t="s">
        <v>91</v>
      </c>
      <c r="D17" s="6" t="s">
        <v>79</v>
      </c>
      <c r="E17" s="15" t="n">
        <v>2</v>
      </c>
      <c r="F17" s="15" t="n">
        <v>1</v>
      </c>
      <c r="G17" s="15" t="n">
        <v>1</v>
      </c>
      <c r="H17" s="15" t="n">
        <v>3</v>
      </c>
      <c r="I17" s="15" t="n">
        <v>18</v>
      </c>
      <c r="J17" s="15" t="n">
        <v>0</v>
      </c>
      <c r="K17" s="15" t="n">
        <v>1</v>
      </c>
      <c r="L17" s="15" t="n">
        <v>0</v>
      </c>
      <c r="M17" s="15" t="n">
        <v>0</v>
      </c>
      <c r="N17" s="6"/>
    </row>
    <row r="18" customFormat="false" ht="15" hidden="false" customHeight="true" outlineLevel="0" collapsed="false">
      <c r="B18" s="14" t="s">
        <v>92</v>
      </c>
      <c r="C18" s="6" t="s">
        <v>93</v>
      </c>
      <c r="D18" s="6" t="s">
        <v>79</v>
      </c>
      <c r="E18" s="15" t="n">
        <v>0</v>
      </c>
      <c r="F18" s="15" t="n">
        <v>0</v>
      </c>
      <c r="G18" s="15" t="n">
        <v>4</v>
      </c>
      <c r="H18" s="15" t="n">
        <v>0</v>
      </c>
      <c r="I18" s="15" t="n">
        <v>18</v>
      </c>
      <c r="J18" s="15" t="n">
        <v>0</v>
      </c>
      <c r="K18" s="15" t="n">
        <v>0</v>
      </c>
      <c r="L18" s="15" t="n">
        <v>0</v>
      </c>
      <c r="M18" s="15" t="n">
        <v>0</v>
      </c>
      <c r="N18" s="6"/>
    </row>
    <row r="19" customFormat="false" ht="15" hidden="false" customHeight="true" outlineLevel="0" collapsed="false">
      <c r="B19" s="14" t="s">
        <v>94</v>
      </c>
      <c r="C19" s="6" t="s">
        <v>95</v>
      </c>
      <c r="D19" s="6" t="s">
        <v>79</v>
      </c>
      <c r="E19" s="15" t="n">
        <v>1</v>
      </c>
      <c r="F19" s="15" t="n">
        <v>1</v>
      </c>
      <c r="G19" s="15" t="n">
        <v>0</v>
      </c>
      <c r="H19" s="15" t="n">
        <v>8</v>
      </c>
      <c r="I19" s="15" t="n">
        <v>2</v>
      </c>
      <c r="J19" s="15" t="n">
        <v>0</v>
      </c>
      <c r="K19" s="15" t="n">
        <v>1</v>
      </c>
      <c r="L19" s="15" t="n">
        <v>0</v>
      </c>
      <c r="M19" s="15" t="n">
        <v>0</v>
      </c>
      <c r="N19" s="6"/>
    </row>
    <row r="20" customFormat="false" ht="15" hidden="false" customHeight="true" outlineLevel="0" collapsed="false">
      <c r="B20" s="14" t="s">
        <v>96</v>
      </c>
      <c r="C20" s="6" t="s">
        <v>97</v>
      </c>
      <c r="D20" s="6" t="s">
        <v>79</v>
      </c>
      <c r="E20" s="15" t="n">
        <v>2</v>
      </c>
      <c r="F20" s="15" t="n">
        <v>1</v>
      </c>
      <c r="G20" s="15" t="n">
        <v>5</v>
      </c>
      <c r="H20" s="15" t="n">
        <v>13</v>
      </c>
      <c r="I20" s="15" t="n">
        <v>10</v>
      </c>
      <c r="J20" s="15" t="n">
        <v>1</v>
      </c>
      <c r="K20" s="15" t="n">
        <v>1</v>
      </c>
      <c r="L20" s="15" t="n">
        <v>1</v>
      </c>
      <c r="M20" s="15" t="n">
        <v>0</v>
      </c>
      <c r="N20" s="6"/>
    </row>
    <row r="21" customFormat="false" ht="15" hidden="false" customHeight="true" outlineLevel="0" collapsed="false">
      <c r="B21" s="14" t="s">
        <v>98</v>
      </c>
      <c r="C21" s="6" t="s">
        <v>99</v>
      </c>
      <c r="D21" s="6" t="s">
        <v>79</v>
      </c>
      <c r="E21" s="15" t="n">
        <v>1</v>
      </c>
      <c r="F21" s="15" t="n">
        <v>1</v>
      </c>
      <c r="G21" s="15" t="n">
        <v>2</v>
      </c>
      <c r="H21" s="15" t="n">
        <v>3</v>
      </c>
      <c r="I21" s="15" t="n">
        <v>5</v>
      </c>
      <c r="J21" s="15" t="n">
        <v>0</v>
      </c>
      <c r="K21" s="15" t="n">
        <v>0</v>
      </c>
      <c r="L21" s="15" t="n">
        <v>0</v>
      </c>
      <c r="M21" s="15" t="n">
        <v>0</v>
      </c>
      <c r="N21" s="6"/>
    </row>
    <row r="22" customFormat="false" ht="15" hidden="false" customHeight="true" outlineLevel="0" collapsed="false">
      <c r="B22" s="14" t="s">
        <v>100</v>
      </c>
      <c r="C22" s="6" t="s">
        <v>101</v>
      </c>
      <c r="D22" s="6" t="s">
        <v>79</v>
      </c>
      <c r="E22" s="15" t="n">
        <v>2</v>
      </c>
      <c r="F22" s="15" t="n">
        <v>1</v>
      </c>
      <c r="G22" s="15" t="n">
        <v>3</v>
      </c>
      <c r="H22" s="15" t="n">
        <v>10</v>
      </c>
      <c r="I22" s="15" t="n">
        <v>14</v>
      </c>
      <c r="J22" s="15" t="n">
        <v>0</v>
      </c>
      <c r="K22" s="15" t="n">
        <v>1</v>
      </c>
      <c r="L22" s="15" t="n">
        <v>0</v>
      </c>
      <c r="M22" s="15" t="n">
        <v>0</v>
      </c>
      <c r="N22" s="6"/>
    </row>
    <row r="23" customFormat="false" ht="15" hidden="false" customHeight="true" outlineLevel="0" collapsed="false">
      <c r="B23" s="14" t="s">
        <v>102</v>
      </c>
      <c r="C23" s="6" t="s">
        <v>103</v>
      </c>
      <c r="D23" s="6" t="s">
        <v>79</v>
      </c>
      <c r="E23" s="15" t="n">
        <v>0</v>
      </c>
      <c r="F23" s="15" t="n">
        <v>0</v>
      </c>
      <c r="G23" s="15" t="n">
        <v>4</v>
      </c>
      <c r="H23" s="15" t="n">
        <v>0</v>
      </c>
      <c r="I23" s="15" t="n">
        <v>13</v>
      </c>
      <c r="J23" s="15" t="n">
        <v>0</v>
      </c>
      <c r="K23" s="15" t="n">
        <v>0</v>
      </c>
      <c r="L23" s="15" t="n">
        <v>0</v>
      </c>
      <c r="M23" s="15" t="n">
        <v>0</v>
      </c>
      <c r="N23" s="6"/>
    </row>
    <row r="24" customFormat="false" ht="15" hidden="false" customHeight="true" outlineLevel="0" collapsed="false">
      <c r="B24" s="14" t="s">
        <v>104</v>
      </c>
      <c r="C24" s="6" t="s">
        <v>105</v>
      </c>
      <c r="D24" s="6" t="s">
        <v>79</v>
      </c>
      <c r="E24" s="15" t="n">
        <v>1</v>
      </c>
      <c r="F24" s="15" t="n">
        <v>1</v>
      </c>
      <c r="G24" s="15" t="n">
        <v>1</v>
      </c>
      <c r="H24" s="15" t="n">
        <v>7</v>
      </c>
      <c r="I24" s="15" t="n">
        <v>13</v>
      </c>
      <c r="J24" s="15" t="n">
        <v>0</v>
      </c>
      <c r="K24" s="15" t="n">
        <v>1</v>
      </c>
      <c r="L24" s="15" t="n">
        <v>0</v>
      </c>
      <c r="M24" s="15" t="n">
        <v>0</v>
      </c>
      <c r="N24" s="6"/>
    </row>
    <row r="25" customFormat="false" ht="15" hidden="false" customHeight="true" outlineLevel="0" collapsed="false">
      <c r="B25" s="14" t="s">
        <v>106</v>
      </c>
      <c r="C25" s="6" t="s">
        <v>107</v>
      </c>
      <c r="D25" s="6" t="s">
        <v>79</v>
      </c>
      <c r="E25" s="15" t="n">
        <v>2</v>
      </c>
      <c r="F25" s="15" t="n">
        <v>1</v>
      </c>
      <c r="G25" s="15" t="n">
        <v>4</v>
      </c>
      <c r="H25" s="15" t="n">
        <v>10</v>
      </c>
      <c r="I25" s="15" t="n">
        <v>10</v>
      </c>
      <c r="J25" s="15" t="n">
        <v>0</v>
      </c>
      <c r="K25" s="15" t="n">
        <v>1</v>
      </c>
      <c r="L25" s="15" t="n">
        <v>1</v>
      </c>
      <c r="M25" s="15" t="n">
        <v>0</v>
      </c>
      <c r="N25" s="6"/>
    </row>
    <row r="26" customFormat="false" ht="15" hidden="false" customHeight="true" outlineLevel="0" collapsed="false">
      <c r="B26" s="14" t="s">
        <v>108</v>
      </c>
      <c r="C26" s="6" t="s">
        <v>109</v>
      </c>
      <c r="D26" s="6" t="s">
        <v>79</v>
      </c>
      <c r="E26" s="15" t="n">
        <v>2</v>
      </c>
      <c r="F26" s="15" t="n">
        <v>1</v>
      </c>
      <c r="G26" s="15" t="n">
        <v>6</v>
      </c>
      <c r="H26" s="15" t="n">
        <v>14</v>
      </c>
      <c r="I26" s="15" t="n">
        <v>2</v>
      </c>
      <c r="J26" s="15" t="n">
        <v>0</v>
      </c>
      <c r="K26" s="15" t="n">
        <v>0</v>
      </c>
      <c r="L26" s="15" t="n">
        <v>1</v>
      </c>
      <c r="M26" s="15" t="n">
        <v>0</v>
      </c>
      <c r="N26" s="6"/>
    </row>
    <row r="27" customFormat="false" ht="15" hidden="false" customHeight="true" outlineLevel="0" collapsed="false">
      <c r="B27" s="14" t="s">
        <v>110</v>
      </c>
      <c r="C27" s="6" t="s">
        <v>111</v>
      </c>
      <c r="D27" s="6" t="s">
        <v>79</v>
      </c>
      <c r="E27" s="15" t="n">
        <v>3</v>
      </c>
      <c r="F27" s="15" t="n">
        <v>1</v>
      </c>
      <c r="G27" s="15" t="n">
        <v>5</v>
      </c>
      <c r="H27" s="15" t="n">
        <v>2</v>
      </c>
      <c r="I27" s="15" t="n">
        <v>1</v>
      </c>
      <c r="J27" s="15" t="n">
        <v>0</v>
      </c>
      <c r="K27" s="15" t="n">
        <v>1</v>
      </c>
      <c r="L27" s="15" t="n">
        <v>1</v>
      </c>
      <c r="M27" s="15" t="n">
        <v>0</v>
      </c>
      <c r="N27" s="6"/>
    </row>
    <row r="28" customFormat="false" ht="15" hidden="false" customHeight="true" outlineLevel="0" collapsed="false">
      <c r="B28" s="14" t="s">
        <v>112</v>
      </c>
      <c r="C28" s="6" t="s">
        <v>113</v>
      </c>
      <c r="D28" s="6" t="s">
        <v>79</v>
      </c>
      <c r="E28" s="15" t="n">
        <v>1</v>
      </c>
      <c r="F28" s="15" t="n">
        <v>1</v>
      </c>
      <c r="G28" s="15" t="n">
        <v>5</v>
      </c>
      <c r="H28" s="15" t="n">
        <v>6</v>
      </c>
      <c r="I28" s="15" t="n">
        <v>21</v>
      </c>
      <c r="J28" s="15" t="n">
        <v>0</v>
      </c>
      <c r="K28" s="15" t="n">
        <v>0</v>
      </c>
      <c r="L28" s="15" t="n">
        <v>1</v>
      </c>
      <c r="M28" s="15" t="n">
        <v>0</v>
      </c>
      <c r="N28" s="6"/>
    </row>
    <row r="29" customFormat="false" ht="15" hidden="false" customHeight="true" outlineLevel="0" collapsed="false">
      <c r="B29" s="14" t="s">
        <v>114</v>
      </c>
      <c r="C29" s="6" t="s">
        <v>115</v>
      </c>
      <c r="D29" s="6" t="s">
        <v>79</v>
      </c>
      <c r="E29" s="15" t="n">
        <v>1</v>
      </c>
      <c r="F29" s="15" t="n">
        <v>1</v>
      </c>
      <c r="G29" s="15" t="n">
        <v>1</v>
      </c>
      <c r="H29" s="15" t="n">
        <v>1</v>
      </c>
      <c r="I29" s="15" t="n">
        <v>15</v>
      </c>
      <c r="J29" s="15" t="n">
        <v>0</v>
      </c>
      <c r="K29" s="15" t="n">
        <v>0</v>
      </c>
      <c r="L29" s="15" t="n">
        <v>0</v>
      </c>
      <c r="M29" s="15" t="n">
        <v>0</v>
      </c>
      <c r="N29" s="6"/>
    </row>
    <row r="30" customFormat="false" ht="15" hidden="false" customHeight="true" outlineLevel="0" collapsed="false">
      <c r="B30" s="14" t="s">
        <v>116</v>
      </c>
      <c r="C30" s="6" t="s">
        <v>117</v>
      </c>
      <c r="D30" s="6" t="s">
        <v>79</v>
      </c>
      <c r="E30" s="15" t="n">
        <v>1</v>
      </c>
      <c r="F30" s="15" t="n">
        <v>1</v>
      </c>
      <c r="G30" s="15" t="n">
        <v>5</v>
      </c>
      <c r="H30" s="15" t="n">
        <v>3</v>
      </c>
      <c r="I30" s="15" t="n">
        <v>12</v>
      </c>
      <c r="J30" s="15" t="n">
        <v>1</v>
      </c>
      <c r="K30" s="15" t="n">
        <v>0</v>
      </c>
      <c r="L30" s="15" t="n">
        <v>0</v>
      </c>
      <c r="M30" s="15" t="n">
        <v>0</v>
      </c>
      <c r="N30" s="6"/>
    </row>
    <row r="32" customFormat="false" ht="15" hidden="false" customHeight="true" outlineLevel="0" collapsed="false">
      <c r="B32" s="12" t="s">
        <v>118</v>
      </c>
    </row>
    <row r="33" customFormat="false" ht="15" hidden="false" customHeight="true" outlineLevel="0" collapsed="false">
      <c r="B33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3" min="12" style="1" width="14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3"/>
  </cols>
  <sheetData>
    <row r="2" customFormat="false" ht="19.5" hidden="false" customHeight="true" outlineLevel="0" collapsed="false">
      <c r="B2" s="2" t="s">
        <v>120</v>
      </c>
    </row>
    <row r="3" customFormat="false" ht="15" hidden="false" customHeight="true" outlineLevel="0" collapsed="false">
      <c r="B3" s="3" t="s">
        <v>121</v>
      </c>
    </row>
    <row r="5" customFormat="false" ht="15" hidden="false" customHeight="true" outlineLevel="0" collapsed="false">
      <c r="B5" s="13" t="s">
        <v>45</v>
      </c>
      <c r="C5" s="5" t="s">
        <v>46</v>
      </c>
      <c r="D5" s="5" t="s">
        <v>47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13" t="s">
        <v>129</v>
      </c>
      <c r="M5" s="13" t="s">
        <v>130</v>
      </c>
      <c r="N5" s="5" t="s">
        <v>131</v>
      </c>
      <c r="O5" s="5" t="s">
        <v>132</v>
      </c>
      <c r="P5" s="5" t="s">
        <v>133</v>
      </c>
    </row>
    <row r="6" customFormat="false" ht="15" hidden="false" customHeight="true" outlineLevel="0" collapsed="false">
      <c r="B6" s="6" t="str">
        <f aca="false">활동로그!B6</f>
        <v>U001</v>
      </c>
      <c r="C6" s="6" t="str">
        <f aca="false">활동로그!C6</f>
        <v>작성자 A</v>
      </c>
      <c r="D6" s="6" t="str">
        <f aca="false">활동로그!D6</f>
        <v>우수 생산자</v>
      </c>
      <c r="E6" s="15" t="n">
        <f aca="false">활동로그!E6*설정!$C$7</f>
        <v>30</v>
      </c>
      <c r="F6" s="15" t="n">
        <f aca="false">활동로그!F6*설정!$C$8</f>
        <v>50</v>
      </c>
      <c r="G6" s="15" t="n">
        <f aca="false">활동로그!G6*설정!$C$9</f>
        <v>36</v>
      </c>
      <c r="H6" s="15" t="n">
        <f aca="false">활동로그!H6*설정!$C$10</f>
        <v>45</v>
      </c>
      <c r="I6" s="15" t="n">
        <f aca="false">활동로그!I6*설정!$C$11</f>
        <v>50</v>
      </c>
      <c r="J6" s="15" t="n">
        <f aca="false">활동로그!J6*설정!$C$12</f>
        <v>60</v>
      </c>
      <c r="K6" s="15" t="n">
        <f aca="false">활동로그!K6*설정!$C$13</f>
        <v>30</v>
      </c>
      <c r="L6" s="15" t="n">
        <f aca="false">SUM(E6:K6)</f>
        <v>301</v>
      </c>
      <c r="M6" s="15" t="n">
        <f aca="false">활동로그!L6*설정!$C$18+활동로그!M6*설정!$C$19</f>
        <v>0</v>
      </c>
      <c r="N6" s="16" t="n">
        <f aca="false">L6+M6</f>
        <v>301</v>
      </c>
      <c r="O6" s="15" t="str">
        <f aca="false">IF(N6&gt;설정!$C$24,"초과","-")</f>
        <v>-</v>
      </c>
      <c r="P6" s="17" t="n">
        <f aca="false">MIN(N6,설정!$C$24)</f>
        <v>301</v>
      </c>
    </row>
    <row r="7" customFormat="false" ht="15" hidden="false" customHeight="true" outlineLevel="0" collapsed="false">
      <c r="B7" s="6" t="str">
        <f aca="false">활동로그!B7</f>
        <v>U002</v>
      </c>
      <c r="C7" s="6" t="str">
        <f aca="false">활동로그!C7</f>
        <v>작성자 B</v>
      </c>
      <c r="D7" s="6" t="str">
        <f aca="false">활동로그!D7</f>
        <v>다작형</v>
      </c>
      <c r="E7" s="15" t="n">
        <f aca="false">활동로그!E7*설정!$C$7</f>
        <v>150</v>
      </c>
      <c r="F7" s="15" t="n">
        <f aca="false">활동로그!F7*설정!$C$8</f>
        <v>50</v>
      </c>
      <c r="G7" s="15" t="n">
        <f aca="false">활동로그!G7*설정!$C$9</f>
        <v>15</v>
      </c>
      <c r="H7" s="15" t="n">
        <f aca="false">활동로그!H7*설정!$C$10</f>
        <v>20</v>
      </c>
      <c r="I7" s="15" t="n">
        <f aca="false">활동로그!I7*설정!$C$11</f>
        <v>20</v>
      </c>
      <c r="J7" s="15" t="n">
        <f aca="false">활동로그!J7*설정!$C$12</f>
        <v>30</v>
      </c>
      <c r="K7" s="15" t="n">
        <f aca="false">활동로그!K7*설정!$C$13</f>
        <v>0</v>
      </c>
      <c r="L7" s="15" t="n">
        <f aca="false">SUM(E7:K7)</f>
        <v>285</v>
      </c>
      <c r="M7" s="15" t="n">
        <f aca="false">활동로그!L7*설정!$C$18+활동로그!M7*설정!$C$19</f>
        <v>0</v>
      </c>
      <c r="N7" s="16" t="n">
        <f aca="false">L7+M7</f>
        <v>285</v>
      </c>
      <c r="O7" s="15" t="str">
        <f aca="false">IF(N7&gt;설정!$C$24,"초과","-")</f>
        <v>-</v>
      </c>
      <c r="P7" s="17" t="n">
        <f aca="false">MIN(N7,설정!$C$24)</f>
        <v>285</v>
      </c>
    </row>
    <row r="8" customFormat="false" ht="15" hidden="false" customHeight="true" outlineLevel="0" collapsed="false">
      <c r="B8" s="6" t="str">
        <f aca="false">활동로그!B8</f>
        <v>U003</v>
      </c>
      <c r="C8" s="6" t="str">
        <f aca="false">활동로그!C8</f>
        <v>작성자 C</v>
      </c>
      <c r="D8" s="6" t="str">
        <f aca="false">활동로그!D8</f>
        <v>신규 진입자</v>
      </c>
      <c r="E8" s="15" t="n">
        <f aca="false">활동로그!E8*설정!$C$7</f>
        <v>10</v>
      </c>
      <c r="F8" s="15" t="n">
        <f aca="false">활동로그!F8*설정!$C$8</f>
        <v>50</v>
      </c>
      <c r="G8" s="15" t="n">
        <f aca="false">활동로그!G8*설정!$C$9</f>
        <v>6</v>
      </c>
      <c r="H8" s="15" t="n">
        <f aca="false">활동로그!H8*설정!$C$10</f>
        <v>18</v>
      </c>
      <c r="I8" s="15" t="n">
        <f aca="false">활동로그!I8*설정!$C$11</f>
        <v>10</v>
      </c>
      <c r="J8" s="15" t="n">
        <f aca="false">활동로그!J8*설정!$C$12</f>
        <v>30</v>
      </c>
      <c r="K8" s="15" t="n">
        <f aca="false">활동로그!K8*설정!$C$13</f>
        <v>0</v>
      </c>
      <c r="L8" s="15" t="n">
        <f aca="false">SUM(E8:K8)</f>
        <v>124</v>
      </c>
      <c r="M8" s="15" t="n">
        <f aca="false">활동로그!L8*설정!$C$18+활동로그!M8*설정!$C$19</f>
        <v>0</v>
      </c>
      <c r="N8" s="16" t="n">
        <f aca="false">L8+M8</f>
        <v>124</v>
      </c>
      <c r="O8" s="15" t="str">
        <f aca="false">IF(N8&gt;설정!$C$24,"초과","-")</f>
        <v>-</v>
      </c>
      <c r="P8" s="17" t="n">
        <f aca="false">MIN(N8,설정!$C$24)</f>
        <v>124</v>
      </c>
    </row>
    <row r="9" customFormat="false" ht="15" hidden="false" customHeight="true" outlineLevel="0" collapsed="false">
      <c r="B9" s="6" t="str">
        <f aca="false">활동로그!B9</f>
        <v>U004</v>
      </c>
      <c r="C9" s="6" t="str">
        <f aca="false">활동로그!C9</f>
        <v>작성자 D</v>
      </c>
      <c r="D9" s="6" t="str">
        <f aca="false">활동로그!D9</f>
        <v>교육 중심</v>
      </c>
      <c r="E9" s="15" t="n">
        <f aca="false">활동로그!E9*설정!$C$7</f>
        <v>20</v>
      </c>
      <c r="F9" s="15" t="n">
        <f aca="false">활동로그!F9*설정!$C$8</f>
        <v>50</v>
      </c>
      <c r="G9" s="15" t="n">
        <f aca="false">활동로그!G9*설정!$C$9</f>
        <v>24</v>
      </c>
      <c r="H9" s="15" t="n">
        <f aca="false">활동로그!H9*설정!$C$10</f>
        <v>15</v>
      </c>
      <c r="I9" s="15" t="n">
        <f aca="false">활동로그!I9*설정!$C$11</f>
        <v>60</v>
      </c>
      <c r="J9" s="15" t="n">
        <f aca="false">활동로그!J9*설정!$C$12</f>
        <v>30</v>
      </c>
      <c r="K9" s="15" t="n">
        <f aca="false">활동로그!K9*설정!$C$13</f>
        <v>10</v>
      </c>
      <c r="L9" s="15" t="n">
        <f aca="false">SUM(E9:K9)</f>
        <v>209</v>
      </c>
      <c r="M9" s="15" t="n">
        <f aca="false">활동로그!L9*설정!$C$18+활동로그!M9*설정!$C$19</f>
        <v>140</v>
      </c>
      <c r="N9" s="16" t="n">
        <f aca="false">L9+M9</f>
        <v>349</v>
      </c>
      <c r="O9" s="15" t="str">
        <f aca="false">IF(N9&gt;설정!$C$24,"초과","-")</f>
        <v>-</v>
      </c>
      <c r="P9" s="17" t="n">
        <f aca="false">MIN(N9,설정!$C$24)</f>
        <v>349</v>
      </c>
    </row>
    <row r="10" customFormat="false" ht="15" hidden="false" customHeight="true" outlineLevel="0" collapsed="false">
      <c r="B10" s="6" t="str">
        <f aca="false">활동로그!B10</f>
        <v>U005</v>
      </c>
      <c r="C10" s="6" t="str">
        <f aca="false">활동로그!C10</f>
        <v>열람자 E</v>
      </c>
      <c r="D10" s="6" t="str">
        <f aca="false">활동로그!D10</f>
        <v>열람 전용</v>
      </c>
      <c r="E10" s="15" t="n">
        <f aca="false">활동로그!E10*설정!$C$7</f>
        <v>0</v>
      </c>
      <c r="F10" s="15" t="n">
        <f aca="false">활동로그!F10*설정!$C$8</f>
        <v>0</v>
      </c>
      <c r="G10" s="15" t="n">
        <f aca="false">활동로그!G10*설정!$C$9</f>
        <v>18</v>
      </c>
      <c r="H10" s="15" t="n">
        <f aca="false">활동로그!H10*설정!$C$10</f>
        <v>0</v>
      </c>
      <c r="I10" s="15" t="n">
        <f aca="false">활동로그!I10*설정!$C$11</f>
        <v>42</v>
      </c>
      <c r="J10" s="15" t="n">
        <f aca="false">활동로그!J10*설정!$C$12</f>
        <v>0</v>
      </c>
      <c r="K10" s="15" t="n">
        <f aca="false">활동로그!K10*설정!$C$13</f>
        <v>0</v>
      </c>
      <c r="L10" s="15" t="n">
        <f aca="false">SUM(E10:K10)</f>
        <v>60</v>
      </c>
      <c r="M10" s="15" t="n">
        <f aca="false">활동로그!L10*설정!$C$18+활동로그!M10*설정!$C$19</f>
        <v>0</v>
      </c>
      <c r="N10" s="16" t="n">
        <f aca="false">L10+M10</f>
        <v>60</v>
      </c>
      <c r="O10" s="15" t="str">
        <f aca="false">IF(N10&gt;설정!$C$24,"초과","-")</f>
        <v>-</v>
      </c>
      <c r="P10" s="17" t="n">
        <f aca="false">MIN(N10,설정!$C$24)</f>
        <v>60</v>
      </c>
    </row>
    <row r="11" customFormat="false" ht="15" hidden="false" customHeight="true" outlineLevel="0" collapsed="false">
      <c r="B11" s="6" t="str">
        <f aca="false">활동로그!B11</f>
        <v>U006</v>
      </c>
      <c r="C11" s="6" t="str">
        <f aca="false">활동로그!C11</f>
        <v>참여자 6</v>
      </c>
      <c r="D11" s="6" t="str">
        <f aca="false">활동로그!D11</f>
        <v>일반</v>
      </c>
      <c r="E11" s="15" t="n">
        <f aca="false">활동로그!E11*설정!$C$7</f>
        <v>10</v>
      </c>
      <c r="F11" s="15" t="n">
        <f aca="false">활동로그!F11*설정!$C$8</f>
        <v>50</v>
      </c>
      <c r="G11" s="15" t="n">
        <f aca="false">활동로그!G11*설정!$C$9</f>
        <v>3</v>
      </c>
      <c r="H11" s="15" t="n">
        <f aca="false">활동로그!H11*설정!$C$10</f>
        <v>6</v>
      </c>
      <c r="I11" s="15" t="n">
        <f aca="false">활동로그!I11*설정!$C$11</f>
        <v>40</v>
      </c>
      <c r="J11" s="15" t="n">
        <f aca="false">활동로그!J11*설정!$C$12</f>
        <v>0</v>
      </c>
      <c r="K11" s="15" t="n">
        <f aca="false">활동로그!K11*설정!$C$13</f>
        <v>0</v>
      </c>
      <c r="L11" s="15" t="n">
        <f aca="false">SUM(E11:K11)</f>
        <v>109</v>
      </c>
      <c r="M11" s="15" t="n">
        <f aca="false">활동로그!L11*설정!$C$18+활동로그!M11*설정!$C$19</f>
        <v>0</v>
      </c>
      <c r="N11" s="16" t="n">
        <f aca="false">L11+M11</f>
        <v>109</v>
      </c>
      <c r="O11" s="15" t="str">
        <f aca="false">IF(N11&gt;설정!$C$24,"초과","-")</f>
        <v>-</v>
      </c>
      <c r="P11" s="17" t="n">
        <f aca="false">MIN(N11,설정!$C$24)</f>
        <v>109</v>
      </c>
    </row>
    <row r="12" customFormat="false" ht="15" hidden="false" customHeight="true" outlineLevel="0" collapsed="false">
      <c r="B12" s="6" t="str">
        <f aca="false">활동로그!B12</f>
        <v>U007</v>
      </c>
      <c r="C12" s="6" t="str">
        <f aca="false">활동로그!C12</f>
        <v>참여자 7</v>
      </c>
      <c r="D12" s="6" t="str">
        <f aca="false">활동로그!D12</f>
        <v>일반</v>
      </c>
      <c r="E12" s="15" t="n">
        <f aca="false">활동로그!E12*설정!$C$7</f>
        <v>10</v>
      </c>
      <c r="F12" s="15" t="n">
        <f aca="false">활동로그!F12*설정!$C$8</f>
        <v>50</v>
      </c>
      <c r="G12" s="15" t="n">
        <f aca="false">활동로그!G12*설정!$C$9</f>
        <v>12</v>
      </c>
      <c r="H12" s="15" t="n">
        <f aca="false">활동로그!H12*설정!$C$10</f>
        <v>0</v>
      </c>
      <c r="I12" s="15" t="n">
        <f aca="false">활동로그!I12*설정!$C$11</f>
        <v>32</v>
      </c>
      <c r="J12" s="15" t="n">
        <f aca="false">활동로그!J12*설정!$C$12</f>
        <v>0</v>
      </c>
      <c r="K12" s="15" t="n">
        <f aca="false">활동로그!K12*설정!$C$13</f>
        <v>0</v>
      </c>
      <c r="L12" s="15" t="n">
        <f aca="false">SUM(E12:K12)</f>
        <v>104</v>
      </c>
      <c r="M12" s="15" t="n">
        <f aca="false">활동로그!L12*설정!$C$18+활동로그!M12*설정!$C$19</f>
        <v>0</v>
      </c>
      <c r="N12" s="16" t="n">
        <f aca="false">L12+M12</f>
        <v>104</v>
      </c>
      <c r="O12" s="15" t="str">
        <f aca="false">IF(N12&gt;설정!$C$24,"초과","-")</f>
        <v>-</v>
      </c>
      <c r="P12" s="17" t="n">
        <f aca="false">MIN(N12,설정!$C$24)</f>
        <v>104</v>
      </c>
    </row>
    <row r="13" customFormat="false" ht="15" hidden="false" customHeight="true" outlineLevel="0" collapsed="false">
      <c r="B13" s="6" t="str">
        <f aca="false">활동로그!B13</f>
        <v>U008</v>
      </c>
      <c r="C13" s="6" t="str">
        <f aca="false">활동로그!C13</f>
        <v>참여자 8</v>
      </c>
      <c r="D13" s="6" t="str">
        <f aca="false">활동로그!D13</f>
        <v>일반</v>
      </c>
      <c r="E13" s="15" t="n">
        <f aca="false">활동로그!E13*설정!$C$7</f>
        <v>20</v>
      </c>
      <c r="F13" s="15" t="n">
        <f aca="false">활동로그!F13*설정!$C$8</f>
        <v>50</v>
      </c>
      <c r="G13" s="15" t="n">
        <f aca="false">활동로그!G13*설정!$C$9</f>
        <v>9</v>
      </c>
      <c r="H13" s="15" t="n">
        <f aca="false">활동로그!H13*설정!$C$10</f>
        <v>2</v>
      </c>
      <c r="I13" s="15" t="n">
        <f aca="false">활동로그!I13*설정!$C$11</f>
        <v>14</v>
      </c>
      <c r="J13" s="15" t="n">
        <f aca="false">활동로그!J13*설정!$C$12</f>
        <v>0</v>
      </c>
      <c r="K13" s="15" t="n">
        <f aca="false">활동로그!K13*설정!$C$13</f>
        <v>10</v>
      </c>
      <c r="L13" s="15" t="n">
        <f aca="false">SUM(E13:K13)</f>
        <v>105</v>
      </c>
      <c r="M13" s="15" t="n">
        <f aca="false">활동로그!L13*설정!$C$18+활동로그!M13*설정!$C$19</f>
        <v>30</v>
      </c>
      <c r="N13" s="16" t="n">
        <f aca="false">L13+M13</f>
        <v>135</v>
      </c>
      <c r="O13" s="15" t="str">
        <f aca="false">IF(N13&gt;설정!$C$24,"초과","-")</f>
        <v>-</v>
      </c>
      <c r="P13" s="17" t="n">
        <f aca="false">MIN(N13,설정!$C$24)</f>
        <v>135</v>
      </c>
    </row>
    <row r="14" customFormat="false" ht="15" hidden="false" customHeight="true" outlineLevel="0" collapsed="false">
      <c r="B14" s="6" t="str">
        <f aca="false">활동로그!B14</f>
        <v>U009</v>
      </c>
      <c r="C14" s="6" t="str">
        <f aca="false">활동로그!C14</f>
        <v>참여자 9</v>
      </c>
      <c r="D14" s="6" t="str">
        <f aca="false">활동로그!D14</f>
        <v>일반</v>
      </c>
      <c r="E14" s="15" t="n">
        <f aca="false">활동로그!E14*설정!$C$7</f>
        <v>0</v>
      </c>
      <c r="F14" s="15" t="n">
        <f aca="false">활동로그!F14*설정!$C$8</f>
        <v>0</v>
      </c>
      <c r="G14" s="15" t="n">
        <f aca="false">활동로그!G14*설정!$C$9</f>
        <v>18</v>
      </c>
      <c r="H14" s="15" t="n">
        <f aca="false">활동로그!H14*설정!$C$10</f>
        <v>0</v>
      </c>
      <c r="I14" s="15" t="n">
        <f aca="false">활동로그!I14*설정!$C$11</f>
        <v>36</v>
      </c>
      <c r="J14" s="15" t="n">
        <f aca="false">활동로그!J14*설정!$C$12</f>
        <v>0</v>
      </c>
      <c r="K14" s="15" t="n">
        <f aca="false">활동로그!K14*설정!$C$13</f>
        <v>0</v>
      </c>
      <c r="L14" s="15" t="n">
        <f aca="false">SUM(E14:K14)</f>
        <v>54</v>
      </c>
      <c r="M14" s="15" t="n">
        <f aca="false">활동로그!L14*설정!$C$18+활동로그!M14*설정!$C$19</f>
        <v>0</v>
      </c>
      <c r="N14" s="16" t="n">
        <f aca="false">L14+M14</f>
        <v>54</v>
      </c>
      <c r="O14" s="15" t="str">
        <f aca="false">IF(N14&gt;설정!$C$24,"초과","-")</f>
        <v>-</v>
      </c>
      <c r="P14" s="17" t="n">
        <f aca="false">MIN(N14,설정!$C$24)</f>
        <v>54</v>
      </c>
    </row>
    <row r="15" customFormat="false" ht="15" hidden="false" customHeight="true" outlineLevel="0" collapsed="false">
      <c r="B15" s="6" t="str">
        <f aca="false">활동로그!B15</f>
        <v>U010</v>
      </c>
      <c r="C15" s="6" t="str">
        <f aca="false">활동로그!C15</f>
        <v>참여자 10</v>
      </c>
      <c r="D15" s="6" t="str">
        <f aca="false">활동로그!D15</f>
        <v>일반</v>
      </c>
      <c r="E15" s="15" t="n">
        <f aca="false">활동로그!E15*설정!$C$7</f>
        <v>10</v>
      </c>
      <c r="F15" s="15" t="n">
        <f aca="false">활동로그!F15*설정!$C$8</f>
        <v>50</v>
      </c>
      <c r="G15" s="15" t="n">
        <f aca="false">활동로그!G15*설정!$C$9</f>
        <v>15</v>
      </c>
      <c r="H15" s="15" t="n">
        <f aca="false">활동로그!H15*설정!$C$10</f>
        <v>0</v>
      </c>
      <c r="I15" s="15" t="n">
        <f aca="false">활동로그!I15*설정!$C$11</f>
        <v>36</v>
      </c>
      <c r="J15" s="15" t="n">
        <f aca="false">활동로그!J15*설정!$C$12</f>
        <v>30</v>
      </c>
      <c r="K15" s="15" t="n">
        <f aca="false">활동로그!K15*설정!$C$13</f>
        <v>0</v>
      </c>
      <c r="L15" s="15" t="n">
        <f aca="false">SUM(E15:K15)</f>
        <v>141</v>
      </c>
      <c r="M15" s="15" t="n">
        <f aca="false">활동로그!L15*설정!$C$18+활동로그!M15*설정!$C$19</f>
        <v>0</v>
      </c>
      <c r="N15" s="16" t="n">
        <f aca="false">L15+M15</f>
        <v>141</v>
      </c>
      <c r="O15" s="15" t="str">
        <f aca="false">IF(N15&gt;설정!$C$24,"초과","-")</f>
        <v>-</v>
      </c>
      <c r="P15" s="17" t="n">
        <f aca="false">MIN(N15,설정!$C$24)</f>
        <v>141</v>
      </c>
    </row>
    <row r="16" customFormat="false" ht="15" hidden="false" customHeight="true" outlineLevel="0" collapsed="false">
      <c r="B16" s="6" t="str">
        <f aca="false">활동로그!B16</f>
        <v>U011</v>
      </c>
      <c r="C16" s="6" t="str">
        <f aca="false">활동로그!C16</f>
        <v>참여자 11</v>
      </c>
      <c r="D16" s="6" t="str">
        <f aca="false">활동로그!D16</f>
        <v>일반</v>
      </c>
      <c r="E16" s="15" t="n">
        <f aca="false">활동로그!E16*설정!$C$7</f>
        <v>0</v>
      </c>
      <c r="F16" s="15" t="n">
        <f aca="false">활동로그!F16*설정!$C$8</f>
        <v>0</v>
      </c>
      <c r="G16" s="15" t="n">
        <f aca="false">활동로그!G16*설정!$C$9</f>
        <v>12</v>
      </c>
      <c r="H16" s="15" t="n">
        <f aca="false">활동로그!H16*설정!$C$10</f>
        <v>0</v>
      </c>
      <c r="I16" s="15" t="n">
        <f aca="false">활동로그!I16*설정!$C$11</f>
        <v>8</v>
      </c>
      <c r="J16" s="15" t="n">
        <f aca="false">활동로그!J16*설정!$C$12</f>
        <v>0</v>
      </c>
      <c r="K16" s="15" t="n">
        <f aca="false">활동로그!K16*설정!$C$13</f>
        <v>0</v>
      </c>
      <c r="L16" s="15" t="n">
        <f aca="false">SUM(E16:K16)</f>
        <v>20</v>
      </c>
      <c r="M16" s="15" t="n">
        <f aca="false">활동로그!L16*설정!$C$18+활동로그!M16*설정!$C$19</f>
        <v>0</v>
      </c>
      <c r="N16" s="16" t="n">
        <f aca="false">L16+M16</f>
        <v>20</v>
      </c>
      <c r="O16" s="15" t="str">
        <f aca="false">IF(N16&gt;설정!$C$24,"초과","-")</f>
        <v>-</v>
      </c>
      <c r="P16" s="17" t="n">
        <f aca="false">MIN(N16,설정!$C$24)</f>
        <v>20</v>
      </c>
    </row>
    <row r="17" customFormat="false" ht="15" hidden="false" customHeight="true" outlineLevel="0" collapsed="false">
      <c r="B17" s="6" t="str">
        <f aca="false">활동로그!B17</f>
        <v>U012</v>
      </c>
      <c r="C17" s="6" t="str">
        <f aca="false">활동로그!C17</f>
        <v>참여자 12</v>
      </c>
      <c r="D17" s="6" t="str">
        <f aca="false">활동로그!D17</f>
        <v>일반</v>
      </c>
      <c r="E17" s="15" t="n">
        <f aca="false">활동로그!E17*설정!$C$7</f>
        <v>20</v>
      </c>
      <c r="F17" s="15" t="n">
        <f aca="false">활동로그!F17*설정!$C$8</f>
        <v>50</v>
      </c>
      <c r="G17" s="15" t="n">
        <f aca="false">활동로그!G17*설정!$C$9</f>
        <v>3</v>
      </c>
      <c r="H17" s="15" t="n">
        <f aca="false">활동로그!H17*설정!$C$10</f>
        <v>3</v>
      </c>
      <c r="I17" s="15" t="n">
        <f aca="false">활동로그!I17*설정!$C$11</f>
        <v>36</v>
      </c>
      <c r="J17" s="15" t="n">
        <f aca="false">활동로그!J17*설정!$C$12</f>
        <v>0</v>
      </c>
      <c r="K17" s="15" t="n">
        <f aca="false">활동로그!K17*설정!$C$13</f>
        <v>10</v>
      </c>
      <c r="L17" s="15" t="n">
        <f aca="false">SUM(E17:K17)</f>
        <v>122</v>
      </c>
      <c r="M17" s="15" t="n">
        <f aca="false">활동로그!L17*설정!$C$18+활동로그!M17*설정!$C$19</f>
        <v>0</v>
      </c>
      <c r="N17" s="16" t="n">
        <f aca="false">L17+M17</f>
        <v>122</v>
      </c>
      <c r="O17" s="15" t="str">
        <f aca="false">IF(N17&gt;설정!$C$24,"초과","-")</f>
        <v>-</v>
      </c>
      <c r="P17" s="17" t="n">
        <f aca="false">MIN(N17,설정!$C$24)</f>
        <v>122</v>
      </c>
    </row>
    <row r="18" customFormat="false" ht="15" hidden="false" customHeight="true" outlineLevel="0" collapsed="false">
      <c r="B18" s="6" t="str">
        <f aca="false">활동로그!B18</f>
        <v>U013</v>
      </c>
      <c r="C18" s="6" t="str">
        <f aca="false">활동로그!C18</f>
        <v>참여자 13</v>
      </c>
      <c r="D18" s="6" t="str">
        <f aca="false">활동로그!D18</f>
        <v>일반</v>
      </c>
      <c r="E18" s="15" t="n">
        <f aca="false">활동로그!E18*설정!$C$7</f>
        <v>0</v>
      </c>
      <c r="F18" s="15" t="n">
        <f aca="false">활동로그!F18*설정!$C$8</f>
        <v>0</v>
      </c>
      <c r="G18" s="15" t="n">
        <f aca="false">활동로그!G18*설정!$C$9</f>
        <v>12</v>
      </c>
      <c r="H18" s="15" t="n">
        <f aca="false">활동로그!H18*설정!$C$10</f>
        <v>0</v>
      </c>
      <c r="I18" s="15" t="n">
        <f aca="false">활동로그!I18*설정!$C$11</f>
        <v>36</v>
      </c>
      <c r="J18" s="15" t="n">
        <f aca="false">활동로그!J18*설정!$C$12</f>
        <v>0</v>
      </c>
      <c r="K18" s="15" t="n">
        <f aca="false">활동로그!K18*설정!$C$13</f>
        <v>0</v>
      </c>
      <c r="L18" s="15" t="n">
        <f aca="false">SUM(E18:K18)</f>
        <v>48</v>
      </c>
      <c r="M18" s="15" t="n">
        <f aca="false">활동로그!L18*설정!$C$18+활동로그!M18*설정!$C$19</f>
        <v>0</v>
      </c>
      <c r="N18" s="16" t="n">
        <f aca="false">L18+M18</f>
        <v>48</v>
      </c>
      <c r="O18" s="15" t="str">
        <f aca="false">IF(N18&gt;설정!$C$24,"초과","-")</f>
        <v>-</v>
      </c>
      <c r="P18" s="17" t="n">
        <f aca="false">MIN(N18,설정!$C$24)</f>
        <v>48</v>
      </c>
    </row>
    <row r="19" customFormat="false" ht="15" hidden="false" customHeight="true" outlineLevel="0" collapsed="false">
      <c r="B19" s="6" t="str">
        <f aca="false">활동로그!B19</f>
        <v>U014</v>
      </c>
      <c r="C19" s="6" t="str">
        <f aca="false">활동로그!C19</f>
        <v>참여자 14</v>
      </c>
      <c r="D19" s="6" t="str">
        <f aca="false">활동로그!D19</f>
        <v>일반</v>
      </c>
      <c r="E19" s="15" t="n">
        <f aca="false">활동로그!E19*설정!$C$7</f>
        <v>10</v>
      </c>
      <c r="F19" s="15" t="n">
        <f aca="false">활동로그!F19*설정!$C$8</f>
        <v>50</v>
      </c>
      <c r="G19" s="15" t="n">
        <f aca="false">활동로그!G19*설정!$C$9</f>
        <v>0</v>
      </c>
      <c r="H19" s="15" t="n">
        <f aca="false">활동로그!H19*설정!$C$10</f>
        <v>8</v>
      </c>
      <c r="I19" s="15" t="n">
        <f aca="false">활동로그!I19*설정!$C$11</f>
        <v>4</v>
      </c>
      <c r="J19" s="15" t="n">
        <f aca="false">활동로그!J19*설정!$C$12</f>
        <v>0</v>
      </c>
      <c r="K19" s="15" t="n">
        <f aca="false">활동로그!K19*설정!$C$13</f>
        <v>10</v>
      </c>
      <c r="L19" s="15" t="n">
        <f aca="false">SUM(E19:K19)</f>
        <v>82</v>
      </c>
      <c r="M19" s="15" t="n">
        <f aca="false">활동로그!L19*설정!$C$18+활동로그!M19*설정!$C$19</f>
        <v>0</v>
      </c>
      <c r="N19" s="16" t="n">
        <f aca="false">L19+M19</f>
        <v>82</v>
      </c>
      <c r="O19" s="15" t="str">
        <f aca="false">IF(N19&gt;설정!$C$24,"초과","-")</f>
        <v>-</v>
      </c>
      <c r="P19" s="17" t="n">
        <f aca="false">MIN(N19,설정!$C$24)</f>
        <v>82</v>
      </c>
    </row>
    <row r="20" customFormat="false" ht="15" hidden="false" customHeight="true" outlineLevel="0" collapsed="false">
      <c r="B20" s="6" t="str">
        <f aca="false">활동로그!B20</f>
        <v>U015</v>
      </c>
      <c r="C20" s="6" t="str">
        <f aca="false">활동로그!C20</f>
        <v>참여자 15</v>
      </c>
      <c r="D20" s="6" t="str">
        <f aca="false">활동로그!D20</f>
        <v>일반</v>
      </c>
      <c r="E20" s="15" t="n">
        <f aca="false">활동로그!E20*설정!$C$7</f>
        <v>20</v>
      </c>
      <c r="F20" s="15" t="n">
        <f aca="false">활동로그!F20*설정!$C$8</f>
        <v>50</v>
      </c>
      <c r="G20" s="15" t="n">
        <f aca="false">활동로그!G20*설정!$C$9</f>
        <v>15</v>
      </c>
      <c r="H20" s="15" t="n">
        <f aca="false">활동로그!H20*설정!$C$10</f>
        <v>13</v>
      </c>
      <c r="I20" s="15" t="n">
        <f aca="false">활동로그!I20*설정!$C$11</f>
        <v>20</v>
      </c>
      <c r="J20" s="15" t="n">
        <f aca="false">활동로그!J20*설정!$C$12</f>
        <v>30</v>
      </c>
      <c r="K20" s="15" t="n">
        <f aca="false">활동로그!K20*설정!$C$13</f>
        <v>10</v>
      </c>
      <c r="L20" s="15" t="n">
        <f aca="false">SUM(E20:K20)</f>
        <v>158</v>
      </c>
      <c r="M20" s="15" t="n">
        <f aca="false">활동로그!L20*설정!$C$18+활동로그!M20*설정!$C$19</f>
        <v>30</v>
      </c>
      <c r="N20" s="16" t="n">
        <f aca="false">L20+M20</f>
        <v>188</v>
      </c>
      <c r="O20" s="15" t="str">
        <f aca="false">IF(N20&gt;설정!$C$24,"초과","-")</f>
        <v>-</v>
      </c>
      <c r="P20" s="17" t="n">
        <f aca="false">MIN(N20,설정!$C$24)</f>
        <v>188</v>
      </c>
    </row>
    <row r="21" customFormat="false" ht="15" hidden="false" customHeight="true" outlineLevel="0" collapsed="false">
      <c r="B21" s="6" t="str">
        <f aca="false">활동로그!B21</f>
        <v>U016</v>
      </c>
      <c r="C21" s="6" t="str">
        <f aca="false">활동로그!C21</f>
        <v>참여자 16</v>
      </c>
      <c r="D21" s="6" t="str">
        <f aca="false">활동로그!D21</f>
        <v>일반</v>
      </c>
      <c r="E21" s="15" t="n">
        <f aca="false">활동로그!E21*설정!$C$7</f>
        <v>10</v>
      </c>
      <c r="F21" s="15" t="n">
        <f aca="false">활동로그!F21*설정!$C$8</f>
        <v>50</v>
      </c>
      <c r="G21" s="15" t="n">
        <f aca="false">활동로그!G21*설정!$C$9</f>
        <v>6</v>
      </c>
      <c r="H21" s="15" t="n">
        <f aca="false">활동로그!H21*설정!$C$10</f>
        <v>3</v>
      </c>
      <c r="I21" s="15" t="n">
        <f aca="false">활동로그!I21*설정!$C$11</f>
        <v>10</v>
      </c>
      <c r="J21" s="15" t="n">
        <f aca="false">활동로그!J21*설정!$C$12</f>
        <v>0</v>
      </c>
      <c r="K21" s="15" t="n">
        <f aca="false">활동로그!K21*설정!$C$13</f>
        <v>0</v>
      </c>
      <c r="L21" s="15" t="n">
        <f aca="false">SUM(E21:K21)</f>
        <v>79</v>
      </c>
      <c r="M21" s="15" t="n">
        <f aca="false">활동로그!L21*설정!$C$18+활동로그!M21*설정!$C$19</f>
        <v>0</v>
      </c>
      <c r="N21" s="16" t="n">
        <f aca="false">L21+M21</f>
        <v>79</v>
      </c>
      <c r="O21" s="15" t="str">
        <f aca="false">IF(N21&gt;설정!$C$24,"초과","-")</f>
        <v>-</v>
      </c>
      <c r="P21" s="17" t="n">
        <f aca="false">MIN(N21,설정!$C$24)</f>
        <v>79</v>
      </c>
    </row>
    <row r="22" customFormat="false" ht="15" hidden="false" customHeight="true" outlineLevel="0" collapsed="false">
      <c r="B22" s="6" t="str">
        <f aca="false">활동로그!B22</f>
        <v>U017</v>
      </c>
      <c r="C22" s="6" t="str">
        <f aca="false">활동로그!C22</f>
        <v>참여자 17</v>
      </c>
      <c r="D22" s="6" t="str">
        <f aca="false">활동로그!D22</f>
        <v>일반</v>
      </c>
      <c r="E22" s="15" t="n">
        <f aca="false">활동로그!E22*설정!$C$7</f>
        <v>20</v>
      </c>
      <c r="F22" s="15" t="n">
        <f aca="false">활동로그!F22*설정!$C$8</f>
        <v>50</v>
      </c>
      <c r="G22" s="15" t="n">
        <f aca="false">활동로그!G22*설정!$C$9</f>
        <v>9</v>
      </c>
      <c r="H22" s="15" t="n">
        <f aca="false">활동로그!H22*설정!$C$10</f>
        <v>10</v>
      </c>
      <c r="I22" s="15" t="n">
        <f aca="false">활동로그!I22*설정!$C$11</f>
        <v>28</v>
      </c>
      <c r="J22" s="15" t="n">
        <f aca="false">활동로그!J22*설정!$C$12</f>
        <v>0</v>
      </c>
      <c r="K22" s="15" t="n">
        <f aca="false">활동로그!K22*설정!$C$13</f>
        <v>10</v>
      </c>
      <c r="L22" s="15" t="n">
        <f aca="false">SUM(E22:K22)</f>
        <v>127</v>
      </c>
      <c r="M22" s="15" t="n">
        <f aca="false">활동로그!L22*설정!$C$18+활동로그!M22*설정!$C$19</f>
        <v>0</v>
      </c>
      <c r="N22" s="16" t="n">
        <f aca="false">L22+M22</f>
        <v>127</v>
      </c>
      <c r="O22" s="15" t="str">
        <f aca="false">IF(N22&gt;설정!$C$24,"초과","-")</f>
        <v>-</v>
      </c>
      <c r="P22" s="17" t="n">
        <f aca="false">MIN(N22,설정!$C$24)</f>
        <v>127</v>
      </c>
    </row>
    <row r="23" customFormat="false" ht="15" hidden="false" customHeight="true" outlineLevel="0" collapsed="false">
      <c r="B23" s="6" t="str">
        <f aca="false">활동로그!B23</f>
        <v>U018</v>
      </c>
      <c r="C23" s="6" t="str">
        <f aca="false">활동로그!C23</f>
        <v>참여자 18</v>
      </c>
      <c r="D23" s="6" t="str">
        <f aca="false">활동로그!D23</f>
        <v>일반</v>
      </c>
      <c r="E23" s="15" t="n">
        <f aca="false">활동로그!E23*설정!$C$7</f>
        <v>0</v>
      </c>
      <c r="F23" s="15" t="n">
        <f aca="false">활동로그!F23*설정!$C$8</f>
        <v>0</v>
      </c>
      <c r="G23" s="15" t="n">
        <f aca="false">활동로그!G23*설정!$C$9</f>
        <v>12</v>
      </c>
      <c r="H23" s="15" t="n">
        <f aca="false">활동로그!H23*설정!$C$10</f>
        <v>0</v>
      </c>
      <c r="I23" s="15" t="n">
        <f aca="false">활동로그!I23*설정!$C$11</f>
        <v>26</v>
      </c>
      <c r="J23" s="15" t="n">
        <f aca="false">활동로그!J23*설정!$C$12</f>
        <v>0</v>
      </c>
      <c r="K23" s="15" t="n">
        <f aca="false">활동로그!K23*설정!$C$13</f>
        <v>0</v>
      </c>
      <c r="L23" s="15" t="n">
        <f aca="false">SUM(E23:K23)</f>
        <v>38</v>
      </c>
      <c r="M23" s="15" t="n">
        <f aca="false">활동로그!L23*설정!$C$18+활동로그!M23*설정!$C$19</f>
        <v>0</v>
      </c>
      <c r="N23" s="16" t="n">
        <f aca="false">L23+M23</f>
        <v>38</v>
      </c>
      <c r="O23" s="15" t="str">
        <f aca="false">IF(N23&gt;설정!$C$24,"초과","-")</f>
        <v>-</v>
      </c>
      <c r="P23" s="17" t="n">
        <f aca="false">MIN(N23,설정!$C$24)</f>
        <v>38</v>
      </c>
    </row>
    <row r="24" customFormat="false" ht="15" hidden="false" customHeight="true" outlineLevel="0" collapsed="false">
      <c r="B24" s="6" t="str">
        <f aca="false">활동로그!B24</f>
        <v>U019</v>
      </c>
      <c r="C24" s="6" t="str">
        <f aca="false">활동로그!C24</f>
        <v>참여자 19</v>
      </c>
      <c r="D24" s="6" t="str">
        <f aca="false">활동로그!D24</f>
        <v>일반</v>
      </c>
      <c r="E24" s="15" t="n">
        <f aca="false">활동로그!E24*설정!$C$7</f>
        <v>10</v>
      </c>
      <c r="F24" s="15" t="n">
        <f aca="false">활동로그!F24*설정!$C$8</f>
        <v>50</v>
      </c>
      <c r="G24" s="15" t="n">
        <f aca="false">활동로그!G24*설정!$C$9</f>
        <v>3</v>
      </c>
      <c r="H24" s="15" t="n">
        <f aca="false">활동로그!H24*설정!$C$10</f>
        <v>7</v>
      </c>
      <c r="I24" s="15" t="n">
        <f aca="false">활동로그!I24*설정!$C$11</f>
        <v>26</v>
      </c>
      <c r="J24" s="15" t="n">
        <f aca="false">활동로그!J24*설정!$C$12</f>
        <v>0</v>
      </c>
      <c r="K24" s="15" t="n">
        <f aca="false">활동로그!K24*설정!$C$13</f>
        <v>10</v>
      </c>
      <c r="L24" s="15" t="n">
        <f aca="false">SUM(E24:K24)</f>
        <v>106</v>
      </c>
      <c r="M24" s="15" t="n">
        <f aca="false">활동로그!L24*설정!$C$18+활동로그!M24*설정!$C$19</f>
        <v>0</v>
      </c>
      <c r="N24" s="16" t="n">
        <f aca="false">L24+M24</f>
        <v>106</v>
      </c>
      <c r="O24" s="15" t="str">
        <f aca="false">IF(N24&gt;설정!$C$24,"초과","-")</f>
        <v>-</v>
      </c>
      <c r="P24" s="17" t="n">
        <f aca="false">MIN(N24,설정!$C$24)</f>
        <v>106</v>
      </c>
    </row>
    <row r="25" customFormat="false" ht="15" hidden="false" customHeight="true" outlineLevel="0" collapsed="false">
      <c r="B25" s="6" t="str">
        <f aca="false">활동로그!B25</f>
        <v>U020</v>
      </c>
      <c r="C25" s="6" t="str">
        <f aca="false">활동로그!C25</f>
        <v>참여자 20</v>
      </c>
      <c r="D25" s="6" t="str">
        <f aca="false">활동로그!D25</f>
        <v>일반</v>
      </c>
      <c r="E25" s="15" t="n">
        <f aca="false">활동로그!E25*설정!$C$7</f>
        <v>20</v>
      </c>
      <c r="F25" s="15" t="n">
        <f aca="false">활동로그!F25*설정!$C$8</f>
        <v>50</v>
      </c>
      <c r="G25" s="15" t="n">
        <f aca="false">활동로그!G25*설정!$C$9</f>
        <v>12</v>
      </c>
      <c r="H25" s="15" t="n">
        <f aca="false">활동로그!H25*설정!$C$10</f>
        <v>10</v>
      </c>
      <c r="I25" s="15" t="n">
        <f aca="false">활동로그!I25*설정!$C$11</f>
        <v>20</v>
      </c>
      <c r="J25" s="15" t="n">
        <f aca="false">활동로그!J25*설정!$C$12</f>
        <v>0</v>
      </c>
      <c r="K25" s="15" t="n">
        <f aca="false">활동로그!K25*설정!$C$13</f>
        <v>10</v>
      </c>
      <c r="L25" s="15" t="n">
        <f aca="false">SUM(E25:K25)</f>
        <v>122</v>
      </c>
      <c r="M25" s="15" t="n">
        <f aca="false">활동로그!L25*설정!$C$18+활동로그!M25*설정!$C$19</f>
        <v>30</v>
      </c>
      <c r="N25" s="16" t="n">
        <f aca="false">L25+M25</f>
        <v>152</v>
      </c>
      <c r="O25" s="15" t="str">
        <f aca="false">IF(N25&gt;설정!$C$24,"초과","-")</f>
        <v>-</v>
      </c>
      <c r="P25" s="17" t="n">
        <f aca="false">MIN(N25,설정!$C$24)</f>
        <v>152</v>
      </c>
    </row>
    <row r="26" customFormat="false" ht="15" hidden="false" customHeight="true" outlineLevel="0" collapsed="false">
      <c r="B26" s="6" t="str">
        <f aca="false">활동로그!B26</f>
        <v>U021</v>
      </c>
      <c r="C26" s="6" t="str">
        <f aca="false">활동로그!C26</f>
        <v>참여자 21</v>
      </c>
      <c r="D26" s="6" t="str">
        <f aca="false">활동로그!D26</f>
        <v>일반</v>
      </c>
      <c r="E26" s="15" t="n">
        <f aca="false">활동로그!E26*설정!$C$7</f>
        <v>20</v>
      </c>
      <c r="F26" s="15" t="n">
        <f aca="false">활동로그!F26*설정!$C$8</f>
        <v>50</v>
      </c>
      <c r="G26" s="15" t="n">
        <f aca="false">활동로그!G26*설정!$C$9</f>
        <v>18</v>
      </c>
      <c r="H26" s="15" t="n">
        <f aca="false">활동로그!H26*설정!$C$10</f>
        <v>14</v>
      </c>
      <c r="I26" s="15" t="n">
        <f aca="false">활동로그!I26*설정!$C$11</f>
        <v>4</v>
      </c>
      <c r="J26" s="15" t="n">
        <f aca="false">활동로그!J26*설정!$C$12</f>
        <v>0</v>
      </c>
      <c r="K26" s="15" t="n">
        <f aca="false">활동로그!K26*설정!$C$13</f>
        <v>0</v>
      </c>
      <c r="L26" s="15" t="n">
        <f aca="false">SUM(E26:K26)</f>
        <v>106</v>
      </c>
      <c r="M26" s="15" t="n">
        <f aca="false">활동로그!L26*설정!$C$18+활동로그!M26*설정!$C$19</f>
        <v>30</v>
      </c>
      <c r="N26" s="16" t="n">
        <f aca="false">L26+M26</f>
        <v>136</v>
      </c>
      <c r="O26" s="15" t="str">
        <f aca="false">IF(N26&gt;설정!$C$24,"초과","-")</f>
        <v>-</v>
      </c>
      <c r="P26" s="17" t="n">
        <f aca="false">MIN(N26,설정!$C$24)</f>
        <v>136</v>
      </c>
    </row>
    <row r="27" customFormat="false" ht="15" hidden="false" customHeight="true" outlineLevel="0" collapsed="false">
      <c r="B27" s="6" t="str">
        <f aca="false">활동로그!B27</f>
        <v>U022</v>
      </c>
      <c r="C27" s="6" t="str">
        <f aca="false">활동로그!C27</f>
        <v>참여자 22</v>
      </c>
      <c r="D27" s="6" t="str">
        <f aca="false">활동로그!D27</f>
        <v>일반</v>
      </c>
      <c r="E27" s="15" t="n">
        <f aca="false">활동로그!E27*설정!$C$7</f>
        <v>30</v>
      </c>
      <c r="F27" s="15" t="n">
        <f aca="false">활동로그!F27*설정!$C$8</f>
        <v>50</v>
      </c>
      <c r="G27" s="15" t="n">
        <f aca="false">활동로그!G27*설정!$C$9</f>
        <v>15</v>
      </c>
      <c r="H27" s="15" t="n">
        <f aca="false">활동로그!H27*설정!$C$10</f>
        <v>2</v>
      </c>
      <c r="I27" s="15" t="n">
        <f aca="false">활동로그!I27*설정!$C$11</f>
        <v>2</v>
      </c>
      <c r="J27" s="15" t="n">
        <f aca="false">활동로그!J27*설정!$C$12</f>
        <v>0</v>
      </c>
      <c r="K27" s="15" t="n">
        <f aca="false">활동로그!K27*설정!$C$13</f>
        <v>10</v>
      </c>
      <c r="L27" s="15" t="n">
        <f aca="false">SUM(E27:K27)</f>
        <v>109</v>
      </c>
      <c r="M27" s="15" t="n">
        <f aca="false">활동로그!L27*설정!$C$18+활동로그!M27*설정!$C$19</f>
        <v>30</v>
      </c>
      <c r="N27" s="16" t="n">
        <f aca="false">L27+M27</f>
        <v>139</v>
      </c>
      <c r="O27" s="15" t="str">
        <f aca="false">IF(N27&gt;설정!$C$24,"초과","-")</f>
        <v>-</v>
      </c>
      <c r="P27" s="17" t="n">
        <f aca="false">MIN(N27,설정!$C$24)</f>
        <v>139</v>
      </c>
    </row>
    <row r="28" customFormat="false" ht="15" hidden="false" customHeight="true" outlineLevel="0" collapsed="false">
      <c r="B28" s="6" t="str">
        <f aca="false">활동로그!B28</f>
        <v>U023</v>
      </c>
      <c r="C28" s="6" t="str">
        <f aca="false">활동로그!C28</f>
        <v>참여자 23</v>
      </c>
      <c r="D28" s="6" t="str">
        <f aca="false">활동로그!D28</f>
        <v>일반</v>
      </c>
      <c r="E28" s="15" t="n">
        <f aca="false">활동로그!E28*설정!$C$7</f>
        <v>10</v>
      </c>
      <c r="F28" s="15" t="n">
        <f aca="false">활동로그!F28*설정!$C$8</f>
        <v>50</v>
      </c>
      <c r="G28" s="15" t="n">
        <f aca="false">활동로그!G28*설정!$C$9</f>
        <v>15</v>
      </c>
      <c r="H28" s="15" t="n">
        <f aca="false">활동로그!H28*설정!$C$10</f>
        <v>6</v>
      </c>
      <c r="I28" s="15" t="n">
        <f aca="false">활동로그!I28*설정!$C$11</f>
        <v>42</v>
      </c>
      <c r="J28" s="15" t="n">
        <f aca="false">활동로그!J28*설정!$C$12</f>
        <v>0</v>
      </c>
      <c r="K28" s="15" t="n">
        <f aca="false">활동로그!K28*설정!$C$13</f>
        <v>0</v>
      </c>
      <c r="L28" s="15" t="n">
        <f aca="false">SUM(E28:K28)</f>
        <v>123</v>
      </c>
      <c r="M28" s="15" t="n">
        <f aca="false">활동로그!L28*설정!$C$18+활동로그!M28*설정!$C$19</f>
        <v>30</v>
      </c>
      <c r="N28" s="16" t="n">
        <f aca="false">L28+M28</f>
        <v>153</v>
      </c>
      <c r="O28" s="15" t="str">
        <f aca="false">IF(N28&gt;설정!$C$24,"초과","-")</f>
        <v>-</v>
      </c>
      <c r="P28" s="17" t="n">
        <f aca="false">MIN(N28,설정!$C$24)</f>
        <v>153</v>
      </c>
    </row>
    <row r="29" customFormat="false" ht="15" hidden="false" customHeight="true" outlineLevel="0" collapsed="false">
      <c r="B29" s="6" t="str">
        <f aca="false">활동로그!B29</f>
        <v>U024</v>
      </c>
      <c r="C29" s="6" t="str">
        <f aca="false">활동로그!C29</f>
        <v>참여자 24</v>
      </c>
      <c r="D29" s="6" t="str">
        <f aca="false">활동로그!D29</f>
        <v>일반</v>
      </c>
      <c r="E29" s="15" t="n">
        <f aca="false">활동로그!E29*설정!$C$7</f>
        <v>10</v>
      </c>
      <c r="F29" s="15" t="n">
        <f aca="false">활동로그!F29*설정!$C$8</f>
        <v>50</v>
      </c>
      <c r="G29" s="15" t="n">
        <f aca="false">활동로그!G29*설정!$C$9</f>
        <v>3</v>
      </c>
      <c r="H29" s="15" t="n">
        <f aca="false">활동로그!H29*설정!$C$10</f>
        <v>1</v>
      </c>
      <c r="I29" s="15" t="n">
        <f aca="false">활동로그!I29*설정!$C$11</f>
        <v>30</v>
      </c>
      <c r="J29" s="15" t="n">
        <f aca="false">활동로그!J29*설정!$C$12</f>
        <v>0</v>
      </c>
      <c r="K29" s="15" t="n">
        <f aca="false">활동로그!K29*설정!$C$13</f>
        <v>0</v>
      </c>
      <c r="L29" s="15" t="n">
        <f aca="false">SUM(E29:K29)</f>
        <v>94</v>
      </c>
      <c r="M29" s="15" t="n">
        <f aca="false">활동로그!L29*설정!$C$18+활동로그!M29*설정!$C$19</f>
        <v>0</v>
      </c>
      <c r="N29" s="16" t="n">
        <f aca="false">L29+M29</f>
        <v>94</v>
      </c>
      <c r="O29" s="15" t="str">
        <f aca="false">IF(N29&gt;설정!$C$24,"초과","-")</f>
        <v>-</v>
      </c>
      <c r="P29" s="17" t="n">
        <f aca="false">MIN(N29,설정!$C$24)</f>
        <v>94</v>
      </c>
    </row>
    <row r="30" customFormat="false" ht="15" hidden="false" customHeight="true" outlineLevel="0" collapsed="false">
      <c r="B30" s="6" t="str">
        <f aca="false">활동로그!B30</f>
        <v>U025</v>
      </c>
      <c r="C30" s="6" t="str">
        <f aca="false">활동로그!C30</f>
        <v>참여자 25</v>
      </c>
      <c r="D30" s="6" t="str">
        <f aca="false">활동로그!D30</f>
        <v>일반</v>
      </c>
      <c r="E30" s="15" t="n">
        <f aca="false">활동로그!E30*설정!$C$7</f>
        <v>10</v>
      </c>
      <c r="F30" s="15" t="n">
        <f aca="false">활동로그!F30*설정!$C$8</f>
        <v>50</v>
      </c>
      <c r="G30" s="15" t="n">
        <f aca="false">활동로그!G30*설정!$C$9</f>
        <v>15</v>
      </c>
      <c r="H30" s="15" t="n">
        <f aca="false">활동로그!H30*설정!$C$10</f>
        <v>3</v>
      </c>
      <c r="I30" s="15" t="n">
        <f aca="false">활동로그!I30*설정!$C$11</f>
        <v>24</v>
      </c>
      <c r="J30" s="15" t="n">
        <f aca="false">활동로그!J30*설정!$C$12</f>
        <v>30</v>
      </c>
      <c r="K30" s="15" t="n">
        <f aca="false">활동로그!K30*설정!$C$13</f>
        <v>0</v>
      </c>
      <c r="L30" s="15" t="n">
        <f aca="false">SUM(E30:K30)</f>
        <v>132</v>
      </c>
      <c r="M30" s="15" t="n">
        <f aca="false">활동로그!L30*설정!$C$18+활동로그!M30*설정!$C$19</f>
        <v>0</v>
      </c>
      <c r="N30" s="16" t="n">
        <f aca="false">L30+M30</f>
        <v>132</v>
      </c>
      <c r="O30" s="15" t="str">
        <f aca="false">IF(N30&gt;설정!$C$24,"초과","-")</f>
        <v>-</v>
      </c>
      <c r="P30" s="17" t="n">
        <f aca="false">MIN(N30,설정!$C$24)</f>
        <v>132</v>
      </c>
    </row>
    <row r="31" customFormat="false" ht="15" hidden="false" customHeight="true" outlineLevel="0" collapsed="false">
      <c r="B31" s="18"/>
      <c r="C31" s="18"/>
      <c r="D31" s="19" t="s">
        <v>134</v>
      </c>
      <c r="E31" s="18"/>
      <c r="F31" s="18"/>
      <c r="G31" s="18"/>
      <c r="H31" s="18"/>
      <c r="I31" s="18"/>
      <c r="J31" s="18"/>
      <c r="K31" s="18"/>
      <c r="L31" s="20" t="n">
        <f aca="false">SUM(L6:L30)</f>
        <v>2958</v>
      </c>
      <c r="M31" s="20" t="n">
        <f aca="false">SUM(M6:M30)</f>
        <v>320</v>
      </c>
      <c r="N31" s="20" t="n">
        <f aca="false">SUM(N6:N30)</f>
        <v>3278</v>
      </c>
      <c r="O31" s="18"/>
      <c r="P31" s="20" t="n">
        <f aca="false">SUM(P6:P30)</f>
        <v>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2"/>
  </cols>
  <sheetData>
    <row r="2" customFormat="false" ht="19.5" hidden="false" customHeight="true" outlineLevel="0" collapsed="false">
      <c r="B2" s="2" t="s">
        <v>135</v>
      </c>
    </row>
    <row r="3" customFormat="false" ht="15" hidden="false" customHeight="true" outlineLevel="0" collapsed="false">
      <c r="B3" s="3" t="s">
        <v>136</v>
      </c>
    </row>
    <row r="5" customFormat="false" ht="15" hidden="false" customHeight="true" outlineLevel="0" collapsed="false">
      <c r="B5" s="9" t="s">
        <v>137</v>
      </c>
    </row>
    <row r="6" customFormat="false" ht="15" hidden="false" customHeight="true" outlineLevel="0" collapsed="false">
      <c r="B6" s="5" t="s">
        <v>26</v>
      </c>
      <c r="C6" s="5" t="s">
        <v>27</v>
      </c>
      <c r="D6" s="5" t="s">
        <v>28</v>
      </c>
    </row>
    <row r="7" customFormat="false" ht="15" hidden="false" customHeight="true" outlineLevel="0" collapsed="false">
      <c r="B7" s="14" t="s">
        <v>138</v>
      </c>
      <c r="C7" s="7" t="n">
        <v>16</v>
      </c>
      <c r="D7" s="8" t="s">
        <v>139</v>
      </c>
    </row>
    <row r="8" customFormat="false" ht="15" hidden="false" customHeight="true" outlineLevel="0" collapsed="false">
      <c r="B8" s="14" t="s">
        <v>140</v>
      </c>
      <c r="C8" s="7" t="n">
        <v>3</v>
      </c>
      <c r="D8" s="8" t="s">
        <v>141</v>
      </c>
    </row>
    <row r="9" customFormat="false" ht="15" hidden="false" customHeight="true" outlineLevel="0" collapsed="false">
      <c r="B9" s="6" t="s">
        <v>142</v>
      </c>
      <c r="C9" s="7" t="n">
        <v>1</v>
      </c>
      <c r="D9" s="10" t="s">
        <v>143</v>
      </c>
    </row>
    <row r="10" customFormat="false" ht="15" hidden="false" customHeight="true" outlineLevel="0" collapsed="false">
      <c r="B10" s="6" t="s">
        <v>144</v>
      </c>
      <c r="C10" s="7" t="n">
        <v>5</v>
      </c>
      <c r="D10" s="8" t="s">
        <v>145</v>
      </c>
    </row>
    <row r="13" customFormat="false" ht="18.75" hidden="false" customHeight="true" outlineLevel="0" collapsed="false">
      <c r="B13" s="9" t="s">
        <v>146</v>
      </c>
    </row>
    <row r="14" customFormat="false" ht="15" hidden="false" customHeight="true" outlineLevel="0" collapsed="false">
      <c r="B14" s="5" t="s">
        <v>147</v>
      </c>
      <c r="C14" s="5" t="s">
        <v>4</v>
      </c>
      <c r="D14" s="5" t="s">
        <v>148</v>
      </c>
    </row>
    <row r="15" customFormat="false" ht="15" hidden="false" customHeight="true" outlineLevel="0" collapsed="false">
      <c r="B15" s="6" t="s">
        <v>6</v>
      </c>
      <c r="C15" s="15" t="n">
        <f aca="false">$C$8*설정!$C$7</f>
        <v>30</v>
      </c>
      <c r="D15" s="8" t="s">
        <v>149</v>
      </c>
    </row>
    <row r="16" customFormat="false" ht="15" hidden="false" customHeight="true" outlineLevel="0" collapsed="false">
      <c r="B16" s="6" t="s">
        <v>150</v>
      </c>
      <c r="C16" s="15" t="n">
        <f aca="false">$C$9*설정!$C$8</f>
        <v>50</v>
      </c>
      <c r="D16" s="8" t="s">
        <v>151</v>
      </c>
    </row>
    <row r="17" customFormat="false" ht="15" hidden="false" customHeight="true" outlineLevel="0" collapsed="false">
      <c r="B17" s="6" t="s">
        <v>12</v>
      </c>
      <c r="C17" s="15" t="n">
        <f aca="false">$C$8*$C$10*설정!$C$10</f>
        <v>15</v>
      </c>
      <c r="D17" s="8" t="s">
        <v>152</v>
      </c>
    </row>
    <row r="18" customFormat="false" ht="15" hidden="false" customHeight="true" outlineLevel="0" collapsed="false">
      <c r="B18" s="21" t="s">
        <v>153</v>
      </c>
      <c r="C18" s="22" t="n">
        <f aca="false">SUM(C15:C17)</f>
        <v>95</v>
      </c>
      <c r="D18" s="23" t="s">
        <v>154</v>
      </c>
    </row>
    <row r="21" customFormat="false" ht="18.75" hidden="false" customHeight="true" outlineLevel="0" collapsed="false">
      <c r="B21" s="9" t="s">
        <v>155</v>
      </c>
    </row>
    <row r="22" customFormat="false" ht="15" hidden="false" customHeight="true" outlineLevel="0" collapsed="false">
      <c r="B22" s="5" t="s">
        <v>156</v>
      </c>
      <c r="C22" s="5" t="s">
        <v>157</v>
      </c>
      <c r="D22" s="5" t="s">
        <v>158</v>
      </c>
      <c r="E22" s="5" t="s">
        <v>159</v>
      </c>
    </row>
    <row r="23" customFormat="false" ht="15" hidden="false" customHeight="true" outlineLevel="0" collapsed="false">
      <c r="B23" s="6" t="s">
        <v>160</v>
      </c>
      <c r="C23" s="17" t="n">
        <f aca="false">C18</f>
        <v>95</v>
      </c>
      <c r="D23" s="24" t="s">
        <v>161</v>
      </c>
      <c r="E23" s="8" t="s">
        <v>162</v>
      </c>
    </row>
    <row r="24" customFormat="false" ht="15" hidden="false" customHeight="true" outlineLevel="0" collapsed="false">
      <c r="B24" s="6" t="s">
        <v>163</v>
      </c>
      <c r="C24" s="17" t="n">
        <f aca="false">C18*C7</f>
        <v>1520</v>
      </c>
      <c r="D24" s="24" t="s">
        <v>161</v>
      </c>
      <c r="E24" s="8" t="s">
        <v>164</v>
      </c>
    </row>
    <row r="25" customFormat="false" ht="15" hidden="false" customHeight="true" outlineLevel="0" collapsed="false">
      <c r="B25" s="6" t="s">
        <v>165</v>
      </c>
      <c r="C25" s="17" t="n">
        <f aca="false">IFERROR(개인별정산!P31/COUNTA(개인별정산!B6:B30),0)</f>
        <v>131.12</v>
      </c>
      <c r="D25" s="24" t="n">
        <f aca="false">IFERROR(개인별정산!P31/COUNTA(개인별정산!B6:B30),0)</f>
        <v>131.12</v>
      </c>
      <c r="E25" s="10" t="s">
        <v>166</v>
      </c>
    </row>
    <row r="26" customFormat="false" ht="15" hidden="false" customHeight="true" outlineLevel="0" collapsed="false">
      <c r="B26" s="6" t="s">
        <v>167</v>
      </c>
      <c r="C26" s="25" t="n">
        <f aca="false">IFERROR(C23/C25,0)</f>
        <v>0.724527150701647</v>
      </c>
      <c r="D26" s="26" t="n">
        <f aca="false">0</f>
        <v>0</v>
      </c>
      <c r="E26" s="10" t="s">
        <v>168</v>
      </c>
    </row>
    <row r="27" customFormat="false" ht="15" hidden="false" customHeight="true" outlineLevel="0" collapsed="false">
      <c r="B27" s="6" t="s">
        <v>169</v>
      </c>
      <c r="C27" s="27" t="n">
        <f aca="false">IFERROR(C18/설정!$C$24,0)</f>
        <v>0.19</v>
      </c>
      <c r="D27" s="28" t="n">
        <f aca="false">0</f>
        <v>0</v>
      </c>
      <c r="E27" s="8" t="s">
        <v>170</v>
      </c>
    </row>
    <row r="30" customFormat="false" ht="15" hidden="false" customHeight="true" outlineLevel="0" collapsed="false">
      <c r="B30" s="9" t="s">
        <v>171</v>
      </c>
    </row>
    <row r="31" customFormat="false" ht="15" hidden="false" customHeight="true" outlineLevel="0" collapsed="false">
      <c r="B31" s="29" t="s">
        <v>172</v>
      </c>
    </row>
    <row r="32" customFormat="false" ht="15" hidden="false" customHeight="true" outlineLevel="0" collapsed="false">
      <c r="B32" s="30" t="s">
        <v>173</v>
      </c>
    </row>
    <row r="33" customFormat="false" ht="15" hidden="false" customHeight="true" outlineLevel="0" collapsed="false">
      <c r="B33" s="30" t="s">
        <v>174</v>
      </c>
    </row>
    <row r="34" customFormat="false" ht="15" hidden="false" customHeight="true" outlineLevel="0" collapsed="false">
      <c r="B34" s="29" t="s">
        <v>175</v>
      </c>
    </row>
    <row r="35" customFormat="false" ht="15" hidden="false" customHeight="true" outlineLevel="0" collapsed="false">
      <c r="B35" s="30" t="s">
        <v>176</v>
      </c>
    </row>
    <row r="36" customFormat="false" ht="15" hidden="false" customHeight="true" outlineLevel="0" collapsed="false">
      <c r="B36" s="29" t="s">
        <v>177</v>
      </c>
    </row>
    <row r="37" customFormat="false" ht="15" hidden="false" customHeight="true" outlineLevel="0" collapsed="false">
      <c r="B37" s="30" t="s">
        <v>178</v>
      </c>
    </row>
    <row r="39" customFormat="false" ht="15" hidden="false" customHeight="true" outlineLevel="0" collapsed="false">
      <c r="B39" s="30" t="s">
        <v>179</v>
      </c>
    </row>
    <row r="40" customFormat="false" ht="15" hidden="false" customHeight="true" outlineLevel="0" collapsed="false">
      <c r="B40" s="31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26"/>
    <col collapsed="false" customWidth="true" hidden="false" outlineLevel="0" max="4" min="4" style="1" width="16"/>
    <col collapsed="false" customWidth="true" hidden="false" outlineLevel="0" max="5" min="5" style="1" width="34"/>
  </cols>
  <sheetData>
    <row r="2" customFormat="false" ht="19.5" hidden="false" customHeight="true" outlineLevel="0" collapsed="false">
      <c r="B2" s="2" t="s">
        <v>181</v>
      </c>
    </row>
    <row r="3" customFormat="false" ht="15" hidden="false" customHeight="true" outlineLevel="0" collapsed="false">
      <c r="B3" s="3" t="s">
        <v>182</v>
      </c>
    </row>
    <row r="5" customFormat="false" ht="15" hidden="false" customHeight="true" outlineLevel="0" collapsed="false">
      <c r="B5" s="5" t="s">
        <v>156</v>
      </c>
      <c r="C5" s="5" t="s">
        <v>27</v>
      </c>
      <c r="D5" s="5" t="s">
        <v>183</v>
      </c>
    </row>
    <row r="6" customFormat="false" ht="15" hidden="false" customHeight="true" outlineLevel="0" collapsed="false">
      <c r="B6" s="6" t="s">
        <v>184</v>
      </c>
      <c r="C6" s="32" t="n">
        <f aca="false">COUNTA(개인별정산!B6:B30)</f>
        <v>25</v>
      </c>
      <c r="D6" s="10" t="s">
        <v>185</v>
      </c>
    </row>
    <row r="7" customFormat="false" ht="15" hidden="false" customHeight="true" outlineLevel="0" collapsed="false">
      <c r="B7" s="6" t="s">
        <v>186</v>
      </c>
      <c r="C7" s="32" t="n">
        <f aca="false">COUNTIF(활동로그!E6:E30,"&gt;0")</f>
        <v>20</v>
      </c>
      <c r="D7" s="8" t="s">
        <v>187</v>
      </c>
    </row>
    <row r="8" customFormat="false" ht="15" hidden="false" customHeight="true" outlineLevel="0" collapsed="false">
      <c r="B8" s="6" t="s">
        <v>188</v>
      </c>
      <c r="C8" s="32" t="n">
        <f aca="false">COUNTIF(활동로그!F6:F30,1)</f>
        <v>20</v>
      </c>
      <c r="D8" s="8" t="s">
        <v>189</v>
      </c>
    </row>
    <row r="9" customFormat="false" ht="15" hidden="false" customHeight="true" outlineLevel="0" collapsed="false">
      <c r="B9" s="6" t="s">
        <v>190</v>
      </c>
      <c r="C9" s="32" t="n">
        <f aca="false">개인별정산!P31</f>
        <v>3278</v>
      </c>
      <c r="D9" s="10" t="s">
        <v>185</v>
      </c>
    </row>
    <row r="10" customFormat="false" ht="15" hidden="false" customHeight="true" outlineLevel="0" collapsed="false">
      <c r="B10" s="14" t="s">
        <v>191</v>
      </c>
      <c r="C10" s="32" t="n">
        <f aca="false">IFERROR(개인별정산!P31/COUNTA(개인별정산!B6:B30),0)</f>
        <v>131.12</v>
      </c>
      <c r="D10" s="10" t="s">
        <v>185</v>
      </c>
    </row>
    <row r="11" customFormat="false" ht="15" hidden="false" customHeight="true" outlineLevel="0" collapsed="false">
      <c r="B11" s="6" t="s">
        <v>192</v>
      </c>
      <c r="C11" s="32" t="n">
        <f aca="false">MAX(개인별정산!P6:P30)</f>
        <v>349</v>
      </c>
      <c r="D11" s="10" t="s">
        <v>185</v>
      </c>
    </row>
    <row r="12" customFormat="false" ht="15" hidden="false" customHeight="true" outlineLevel="0" collapsed="false">
      <c r="B12" s="6" t="s">
        <v>193</v>
      </c>
      <c r="C12" s="32" t="n">
        <f aca="false">COUNTIF(개인별정산!O6:O30,"초과")</f>
        <v>0</v>
      </c>
      <c r="D12" s="10" t="s">
        <v>194</v>
      </c>
    </row>
    <row r="13" customFormat="false" ht="15" hidden="false" customHeight="true" outlineLevel="0" collapsed="false">
      <c r="B13" s="6" t="s">
        <v>195</v>
      </c>
      <c r="C13" s="33" t="n">
        <f aca="false">IFERROR(SUM(LARGE(개인별정산!P6:P30,1),LARGE(개인별정산!P6:P30,2),LARGE(개인별정산!P6:P30,3))/개인별정산!P31,0)</f>
        <v>0.285234899328859</v>
      </c>
      <c r="D13" s="10" t="s">
        <v>196</v>
      </c>
    </row>
    <row r="14" customFormat="false" ht="15" hidden="false" customHeight="true" outlineLevel="0" collapsed="false">
      <c r="B14" s="6" t="s">
        <v>197</v>
      </c>
      <c r="C14" s="33" t="n">
        <f aca="false">IFERROR(SUM(개인별정산!F6:F30)/개인별정산!N31,0)</f>
        <v>0.305064063453325</v>
      </c>
      <c r="D14" s="10" t="s">
        <v>198</v>
      </c>
    </row>
    <row r="17" customFormat="false" ht="18.75" hidden="false" customHeight="true" outlineLevel="0" collapsed="false">
      <c r="B17" s="9" t="s">
        <v>199</v>
      </c>
    </row>
    <row r="18" customFormat="false" ht="15" hidden="false" customHeight="true" outlineLevel="0" collapsed="false">
      <c r="B18" s="5" t="s">
        <v>47</v>
      </c>
      <c r="C18" s="5" t="s">
        <v>200</v>
      </c>
      <c r="D18" s="5" t="s">
        <v>133</v>
      </c>
      <c r="E18" s="5" t="s">
        <v>159</v>
      </c>
    </row>
    <row r="19" customFormat="false" ht="15" hidden="false" customHeight="true" outlineLevel="0" collapsed="false">
      <c r="B19" s="34" t="s">
        <v>201</v>
      </c>
      <c r="C19" s="35" t="s">
        <v>202</v>
      </c>
      <c r="D19" s="32" t="n">
        <f aca="false">개인별정산!P6</f>
        <v>301</v>
      </c>
      <c r="E19" s="8" t="s">
        <v>203</v>
      </c>
    </row>
    <row r="20" customFormat="false" ht="15" hidden="false" customHeight="true" outlineLevel="0" collapsed="false">
      <c r="B20" s="34" t="s">
        <v>204</v>
      </c>
      <c r="C20" s="35" t="s">
        <v>205</v>
      </c>
      <c r="D20" s="32" t="n">
        <f aca="false">개인별정산!P7</f>
        <v>285</v>
      </c>
      <c r="E20" s="8" t="s">
        <v>206</v>
      </c>
    </row>
    <row r="21" customFormat="false" ht="15" hidden="false" customHeight="true" outlineLevel="0" collapsed="false">
      <c r="B21" s="34" t="s">
        <v>207</v>
      </c>
      <c r="C21" s="35" t="s">
        <v>208</v>
      </c>
      <c r="D21" s="32" t="n">
        <f aca="false">개인별정산!P8</f>
        <v>124</v>
      </c>
      <c r="E21" s="8" t="s">
        <v>209</v>
      </c>
    </row>
    <row r="22" customFormat="false" ht="15" hidden="false" customHeight="true" outlineLevel="0" collapsed="false">
      <c r="B22" s="34" t="s">
        <v>210</v>
      </c>
      <c r="C22" s="35" t="s">
        <v>211</v>
      </c>
      <c r="D22" s="32" t="n">
        <f aca="false">개인별정산!P9</f>
        <v>349</v>
      </c>
      <c r="E22" s="10" t="s">
        <v>212</v>
      </c>
    </row>
    <row r="23" customFormat="false" ht="15" hidden="false" customHeight="true" outlineLevel="0" collapsed="false">
      <c r="B23" s="34" t="s">
        <v>213</v>
      </c>
      <c r="C23" s="35" t="s">
        <v>214</v>
      </c>
      <c r="D23" s="32" t="n">
        <f aca="false">개인별정산!P10</f>
        <v>60</v>
      </c>
      <c r="E23" s="8" t="s">
        <v>215</v>
      </c>
    </row>
    <row r="26" customFormat="false" ht="15" hidden="false" customHeight="true" outlineLevel="0" collapsed="false">
      <c r="B26" s="9" t="s">
        <v>216</v>
      </c>
    </row>
    <row r="27" customFormat="false" ht="15" hidden="false" customHeight="true" outlineLevel="0" collapsed="false">
      <c r="B27" s="29" t="s">
        <v>217</v>
      </c>
    </row>
    <row r="28" customFormat="false" ht="15" hidden="false" customHeight="true" outlineLevel="0" collapsed="false">
      <c r="B28" s="31" t="s">
        <v>218</v>
      </c>
    </row>
    <row r="29" customFormat="false" ht="15" hidden="false" customHeight="true" outlineLevel="0" collapsed="false">
      <c r="B29" s="29" t="s">
        <v>219</v>
      </c>
    </row>
    <row r="30" customFormat="false" ht="15" hidden="false" customHeight="true" outlineLevel="0" collapsed="false">
      <c r="B30" s="30" t="s">
        <v>220</v>
      </c>
    </row>
    <row r="31" customFormat="false" ht="15" hidden="false" customHeight="true" outlineLevel="0" collapsed="false">
      <c r="B31" s="29" t="s">
        <v>221</v>
      </c>
    </row>
    <row r="32" customFormat="false" ht="15" hidden="false" customHeight="true" outlineLevel="0" collapsed="false">
      <c r="B32" s="30" t="s">
        <v>222</v>
      </c>
    </row>
    <row r="33" customFormat="false" ht="15" hidden="false" customHeight="true" outlineLevel="0" collapsed="false">
      <c r="B33" s="29" t="s">
        <v>223</v>
      </c>
    </row>
    <row r="35" customFormat="false" ht="15" hidden="false" customHeight="false" outlineLevel="0" collapsed="false">
      <c r="B35" s="36" t="s">
        <v>224</v>
      </c>
    </row>
    <row r="36" customFormat="false" ht="15" hidden="false" customHeight="false" outlineLevel="0" collapsed="false">
      <c r="B36" s="37" t="s">
        <v>225</v>
      </c>
      <c r="C36" s="38" t="n">
        <f aca="false">평가점수배분!E43</f>
        <v>25</v>
      </c>
      <c r="D36" s="39" t="s">
        <v>185</v>
      </c>
    </row>
    <row r="37" customFormat="false" ht="15" hidden="false" customHeight="false" outlineLevel="0" collapsed="false">
      <c r="B37" s="37" t="s">
        <v>226</v>
      </c>
      <c r="C37" s="37" t="str">
        <f aca="false">평가점수배분!E44&amp;" / "&amp;평가점수배분!D7</f>
        <v>53 / 100</v>
      </c>
      <c r="D37" s="39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4"/>
  </cols>
  <sheetData>
    <row r="2" customFormat="false" ht="19.7" hidden="false" customHeight="false" outlineLevel="0" collapsed="false">
      <c r="B2" s="40" t="s">
        <v>228</v>
      </c>
    </row>
    <row r="3" customFormat="false" ht="15" hidden="false" customHeight="false" outlineLevel="0" collapsed="false">
      <c r="B3" s="39" t="s">
        <v>229</v>
      </c>
    </row>
    <row r="5" customFormat="false" ht="15" hidden="false" customHeight="false" outlineLevel="0" collapsed="false">
      <c r="B5" s="41" t="s">
        <v>230</v>
      </c>
    </row>
    <row r="6" customFormat="false" ht="15" hidden="false" customHeight="false" outlineLevel="0" collapsed="false">
      <c r="B6" s="42" t="s">
        <v>26</v>
      </c>
      <c r="C6" s="42"/>
      <c r="D6" s="42" t="s">
        <v>27</v>
      </c>
      <c r="E6" s="43" t="s">
        <v>28</v>
      </c>
    </row>
    <row r="7" customFormat="false" ht="15" hidden="false" customHeight="false" outlineLevel="0" collapsed="false">
      <c r="B7" s="44" t="s">
        <v>231</v>
      </c>
      <c r="C7" s="44"/>
      <c r="D7" s="45" t="n">
        <v>100</v>
      </c>
      <c r="E7" s="37" t="s">
        <v>232</v>
      </c>
    </row>
    <row r="8" customFormat="false" ht="15" hidden="false" customHeight="false" outlineLevel="0" collapsed="false">
      <c r="B8" s="44" t="s">
        <v>233</v>
      </c>
      <c r="C8" s="44"/>
      <c r="D8" s="45" t="n">
        <v>5</v>
      </c>
      <c r="E8" s="37" t="s">
        <v>234</v>
      </c>
    </row>
    <row r="9" customFormat="false" ht="15" hidden="false" customHeight="false" outlineLevel="0" collapsed="false">
      <c r="B9" s="44" t="s">
        <v>235</v>
      </c>
      <c r="C9" s="44"/>
      <c r="D9" s="45" t="n">
        <v>0.5</v>
      </c>
      <c r="E9" s="37" t="s">
        <v>236</v>
      </c>
    </row>
    <row r="10" customFormat="false" ht="15" hidden="false" customHeight="false" outlineLevel="0" collapsed="false">
      <c r="B10" s="44" t="s">
        <v>237</v>
      </c>
      <c r="C10" s="44"/>
      <c r="D10" s="45" t="n">
        <v>1</v>
      </c>
      <c r="E10" s="37" t="s">
        <v>238</v>
      </c>
    </row>
    <row r="12" customFormat="false" ht="15" hidden="false" customHeight="false" outlineLevel="0" collapsed="false">
      <c r="B12" s="46" t="s">
        <v>239</v>
      </c>
      <c r="C12" s="46"/>
      <c r="D12" s="47" t="n">
        <f aca="false">LARGE(개인별정산!$P$6:$P$30,$D$10)</f>
        <v>349</v>
      </c>
      <c r="E12" s="39" t="s">
        <v>240</v>
      </c>
    </row>
    <row r="14" customFormat="false" ht="17.15" hidden="false" customHeight="false" outlineLevel="0" collapsed="false">
      <c r="B14" s="41" t="s">
        <v>241</v>
      </c>
    </row>
    <row r="15" customFormat="false" ht="15" hidden="false" customHeight="false" outlineLevel="0" collapsed="false">
      <c r="B15" s="42" t="s">
        <v>242</v>
      </c>
      <c r="C15" s="42" t="s">
        <v>45</v>
      </c>
      <c r="D15" s="42" t="s">
        <v>46</v>
      </c>
      <c r="E15" s="42" t="s">
        <v>133</v>
      </c>
      <c r="F15" s="42" t="s">
        <v>243</v>
      </c>
      <c r="G15" s="42" t="s">
        <v>244</v>
      </c>
      <c r="H15" s="42" t="s">
        <v>245</v>
      </c>
      <c r="I15" s="48" t="s">
        <v>246</v>
      </c>
    </row>
    <row r="16" customFormat="false" ht="15" hidden="false" customHeight="false" outlineLevel="0" collapsed="false">
      <c r="B16" s="49" t="n">
        <v>1</v>
      </c>
      <c r="C16" s="49" t="str">
        <f aca="false">INDEX(개인별정산!$B$6:$B$30,MATCH(LARGE($I$16:$I$40,B16),$I$16:$I$40,0))</f>
        <v>U004</v>
      </c>
      <c r="D16" s="44" t="str">
        <f aca="false">INDEX(개인별정산!$C$6:$C$30,MATCH(LARGE($I$16:$I$40,B16),$I$16:$I$40,0))</f>
        <v>작성자 D</v>
      </c>
      <c r="E16" s="50" t="n">
        <f aca="false">ROUND(LARGE($I$16:$I$40,B16),0)</f>
        <v>349</v>
      </c>
      <c r="F16" s="51" t="n">
        <f aca="false">IF(E16&lt;=0,0,MIN($D$8,CEILING(E16/$D$12*$D$8,$D$9)))</f>
        <v>5</v>
      </c>
      <c r="G16" s="51" t="n">
        <f aca="false">0+H16</f>
        <v>5</v>
      </c>
      <c r="H16" s="51" t="n">
        <f aca="false">IF(0&gt;=$D$7,0,MIN(F16,FLOOR($D$7-0,$D$9)))</f>
        <v>5</v>
      </c>
      <c r="I16" s="52" t="n">
        <f aca="false">개인별정산!P6+(30-6)*0.000001</f>
        <v>301.000024</v>
      </c>
    </row>
    <row r="17" customFormat="false" ht="15" hidden="false" customHeight="false" outlineLevel="0" collapsed="false">
      <c r="B17" s="49" t="n">
        <v>2</v>
      </c>
      <c r="C17" s="49" t="str">
        <f aca="false">INDEX(개인별정산!$B$6:$B$30,MATCH(LARGE($I$16:$I$40,B17),$I$16:$I$40,0))</f>
        <v>U001</v>
      </c>
      <c r="D17" s="44" t="str">
        <f aca="false">INDEX(개인별정산!$C$6:$C$30,MATCH(LARGE($I$16:$I$40,B17),$I$16:$I$40,0))</f>
        <v>작성자 A</v>
      </c>
      <c r="E17" s="50" t="n">
        <f aca="false">ROUND(LARGE($I$16:$I$40,B17),0)</f>
        <v>301</v>
      </c>
      <c r="F17" s="51" t="n">
        <f aca="false">IF(E17&lt;=0,0,MIN($D$8,CEILING(E17/$D$12*$D$8,$D$9)))</f>
        <v>4.5</v>
      </c>
      <c r="G17" s="51" t="n">
        <f aca="false">G16+H17</f>
        <v>9.5</v>
      </c>
      <c r="H17" s="51" t="n">
        <f aca="false">IF(G16&gt;=$D$7,0,MIN(F17,FLOOR($D$7-G16,$D$9)))</f>
        <v>4.5</v>
      </c>
      <c r="I17" s="52" t="n">
        <f aca="false">개인별정산!P7+(30-7)*0.000001</f>
        <v>285.000023</v>
      </c>
    </row>
    <row r="18" customFormat="false" ht="15" hidden="false" customHeight="false" outlineLevel="0" collapsed="false">
      <c r="B18" s="49" t="n">
        <v>3</v>
      </c>
      <c r="C18" s="49" t="str">
        <f aca="false">INDEX(개인별정산!$B$6:$B$30,MATCH(LARGE($I$16:$I$40,B18),$I$16:$I$40,0))</f>
        <v>U002</v>
      </c>
      <c r="D18" s="44" t="str">
        <f aca="false">INDEX(개인별정산!$C$6:$C$30,MATCH(LARGE($I$16:$I$40,B18),$I$16:$I$40,0))</f>
        <v>작성자 B</v>
      </c>
      <c r="E18" s="50" t="n">
        <f aca="false">ROUND(LARGE($I$16:$I$40,B18),0)</f>
        <v>285</v>
      </c>
      <c r="F18" s="51" t="n">
        <f aca="false">IF(E18&lt;=0,0,MIN($D$8,CEILING(E18/$D$12*$D$8,$D$9)))</f>
        <v>4.5</v>
      </c>
      <c r="G18" s="51" t="n">
        <f aca="false">G17+H18</f>
        <v>14</v>
      </c>
      <c r="H18" s="51" t="n">
        <f aca="false">IF(G17&gt;=$D$7,0,MIN(F18,FLOOR($D$7-G17,$D$9)))</f>
        <v>4.5</v>
      </c>
      <c r="I18" s="52" t="n">
        <f aca="false">개인별정산!P8+(30-8)*0.000001</f>
        <v>124.000022</v>
      </c>
    </row>
    <row r="19" customFormat="false" ht="15" hidden="false" customHeight="false" outlineLevel="0" collapsed="false">
      <c r="B19" s="49" t="n">
        <v>4</v>
      </c>
      <c r="C19" s="49" t="str">
        <f aca="false">INDEX(개인별정산!$B$6:$B$30,MATCH(LARGE($I$16:$I$40,B19),$I$16:$I$40,0))</f>
        <v>U015</v>
      </c>
      <c r="D19" s="44" t="str">
        <f aca="false">INDEX(개인별정산!$C$6:$C$30,MATCH(LARGE($I$16:$I$40,B19),$I$16:$I$40,0))</f>
        <v>참여자 15</v>
      </c>
      <c r="E19" s="50" t="n">
        <f aca="false">ROUND(LARGE($I$16:$I$40,B19),0)</f>
        <v>188</v>
      </c>
      <c r="F19" s="51" t="n">
        <f aca="false">IF(E19&lt;=0,0,MIN($D$8,CEILING(E19/$D$12*$D$8,$D$9)))</f>
        <v>3</v>
      </c>
      <c r="G19" s="51" t="n">
        <f aca="false">G18+H19</f>
        <v>17</v>
      </c>
      <c r="H19" s="51" t="n">
        <f aca="false">IF(G18&gt;=$D$7,0,MIN(F19,FLOOR($D$7-G18,$D$9)))</f>
        <v>3</v>
      </c>
      <c r="I19" s="52" t="n">
        <f aca="false">개인별정산!P9+(30-9)*0.000001</f>
        <v>349.000021</v>
      </c>
    </row>
    <row r="20" customFormat="false" ht="15" hidden="false" customHeight="false" outlineLevel="0" collapsed="false">
      <c r="B20" s="49" t="n">
        <v>5</v>
      </c>
      <c r="C20" s="49" t="str">
        <f aca="false">INDEX(개인별정산!$B$6:$B$30,MATCH(LARGE($I$16:$I$40,B20),$I$16:$I$40,0))</f>
        <v>U023</v>
      </c>
      <c r="D20" s="44" t="str">
        <f aca="false">INDEX(개인별정산!$C$6:$C$30,MATCH(LARGE($I$16:$I$40,B20),$I$16:$I$40,0))</f>
        <v>참여자 23</v>
      </c>
      <c r="E20" s="50" t="n">
        <f aca="false">ROUND(LARGE($I$16:$I$40,B20),0)</f>
        <v>153</v>
      </c>
      <c r="F20" s="51" t="n">
        <f aca="false">IF(E20&lt;=0,0,MIN($D$8,CEILING(E20/$D$12*$D$8,$D$9)))</f>
        <v>2.5</v>
      </c>
      <c r="G20" s="51" t="n">
        <f aca="false">G19+H20</f>
        <v>19.5</v>
      </c>
      <c r="H20" s="51" t="n">
        <f aca="false">IF(G19&gt;=$D$7,0,MIN(F20,FLOOR($D$7-G19,$D$9)))</f>
        <v>2.5</v>
      </c>
      <c r="I20" s="52" t="n">
        <f aca="false">개인별정산!P10+(30-10)*0.000001</f>
        <v>60.00002</v>
      </c>
    </row>
    <row r="21" customFormat="false" ht="15" hidden="false" customHeight="false" outlineLevel="0" collapsed="false">
      <c r="B21" s="49" t="n">
        <v>6</v>
      </c>
      <c r="C21" s="49" t="str">
        <f aca="false">INDEX(개인별정산!$B$6:$B$30,MATCH(LARGE($I$16:$I$40,B21),$I$16:$I$40,0))</f>
        <v>U020</v>
      </c>
      <c r="D21" s="44" t="str">
        <f aca="false">INDEX(개인별정산!$C$6:$C$30,MATCH(LARGE($I$16:$I$40,B21),$I$16:$I$40,0))</f>
        <v>참여자 20</v>
      </c>
      <c r="E21" s="50" t="n">
        <f aca="false">ROUND(LARGE($I$16:$I$40,B21),0)</f>
        <v>152</v>
      </c>
      <c r="F21" s="51" t="n">
        <f aca="false">IF(E21&lt;=0,0,MIN($D$8,CEILING(E21/$D$12*$D$8,$D$9)))</f>
        <v>2.5</v>
      </c>
      <c r="G21" s="51" t="n">
        <f aca="false">G20+H21</f>
        <v>22</v>
      </c>
      <c r="H21" s="51" t="n">
        <f aca="false">IF(G20&gt;=$D$7,0,MIN(F21,FLOOR($D$7-G20,$D$9)))</f>
        <v>2.5</v>
      </c>
      <c r="I21" s="52" t="n">
        <f aca="false">개인별정산!P11+(30-11)*0.000001</f>
        <v>109.000019</v>
      </c>
    </row>
    <row r="22" customFormat="false" ht="15" hidden="false" customHeight="false" outlineLevel="0" collapsed="false">
      <c r="B22" s="49" t="n">
        <v>7</v>
      </c>
      <c r="C22" s="49" t="str">
        <f aca="false">INDEX(개인별정산!$B$6:$B$30,MATCH(LARGE($I$16:$I$40,B22),$I$16:$I$40,0))</f>
        <v>U010</v>
      </c>
      <c r="D22" s="44" t="str">
        <f aca="false">INDEX(개인별정산!$C$6:$C$30,MATCH(LARGE($I$16:$I$40,B22),$I$16:$I$40,0))</f>
        <v>참여자 10</v>
      </c>
      <c r="E22" s="50" t="n">
        <f aca="false">ROUND(LARGE($I$16:$I$40,B22),0)</f>
        <v>141</v>
      </c>
      <c r="F22" s="51" t="n">
        <f aca="false">IF(E22&lt;=0,0,MIN($D$8,CEILING(E22/$D$12*$D$8,$D$9)))</f>
        <v>2.5</v>
      </c>
      <c r="G22" s="51" t="n">
        <f aca="false">G21+H22</f>
        <v>24.5</v>
      </c>
      <c r="H22" s="51" t="n">
        <f aca="false">IF(G21&gt;=$D$7,0,MIN(F22,FLOOR($D$7-G21,$D$9)))</f>
        <v>2.5</v>
      </c>
      <c r="I22" s="52" t="n">
        <f aca="false">개인별정산!P12+(30-12)*0.000001</f>
        <v>104.000018</v>
      </c>
    </row>
    <row r="23" customFormat="false" ht="15" hidden="false" customHeight="false" outlineLevel="0" collapsed="false">
      <c r="B23" s="49" t="n">
        <v>8</v>
      </c>
      <c r="C23" s="49" t="str">
        <f aca="false">INDEX(개인별정산!$B$6:$B$30,MATCH(LARGE($I$16:$I$40,B23),$I$16:$I$40,0))</f>
        <v>U022</v>
      </c>
      <c r="D23" s="44" t="str">
        <f aca="false">INDEX(개인별정산!$C$6:$C$30,MATCH(LARGE($I$16:$I$40,B23),$I$16:$I$40,0))</f>
        <v>참여자 22</v>
      </c>
      <c r="E23" s="50" t="n">
        <f aca="false">ROUND(LARGE($I$16:$I$40,B23),0)</f>
        <v>139</v>
      </c>
      <c r="F23" s="51" t="n">
        <f aca="false">IF(E23&lt;=0,0,MIN($D$8,CEILING(E23/$D$12*$D$8,$D$9)))</f>
        <v>2</v>
      </c>
      <c r="G23" s="51" t="n">
        <f aca="false">G22+H23</f>
        <v>26.5</v>
      </c>
      <c r="H23" s="51" t="n">
        <f aca="false">IF(G22&gt;=$D$7,0,MIN(F23,FLOOR($D$7-G22,$D$9)))</f>
        <v>2</v>
      </c>
      <c r="I23" s="52" t="n">
        <f aca="false">개인별정산!P13+(30-13)*0.000001</f>
        <v>135.000017</v>
      </c>
    </row>
    <row r="24" customFormat="false" ht="15" hidden="false" customHeight="false" outlineLevel="0" collapsed="false">
      <c r="B24" s="49" t="n">
        <v>9</v>
      </c>
      <c r="C24" s="49" t="str">
        <f aca="false">INDEX(개인별정산!$B$6:$B$30,MATCH(LARGE($I$16:$I$40,B24),$I$16:$I$40,0))</f>
        <v>U021</v>
      </c>
      <c r="D24" s="44" t="str">
        <f aca="false">INDEX(개인별정산!$C$6:$C$30,MATCH(LARGE($I$16:$I$40,B24),$I$16:$I$40,0))</f>
        <v>참여자 21</v>
      </c>
      <c r="E24" s="50" t="n">
        <f aca="false">ROUND(LARGE($I$16:$I$40,B24),0)</f>
        <v>136</v>
      </c>
      <c r="F24" s="51" t="n">
        <f aca="false">IF(E24&lt;=0,0,MIN($D$8,CEILING(E24/$D$12*$D$8,$D$9)))</f>
        <v>2</v>
      </c>
      <c r="G24" s="51" t="n">
        <f aca="false">G23+H24</f>
        <v>28.5</v>
      </c>
      <c r="H24" s="51" t="n">
        <f aca="false">IF(G23&gt;=$D$7,0,MIN(F24,FLOOR($D$7-G23,$D$9)))</f>
        <v>2</v>
      </c>
      <c r="I24" s="52" t="n">
        <f aca="false">개인별정산!P14+(30-14)*0.000001</f>
        <v>54.000016</v>
      </c>
    </row>
    <row r="25" customFormat="false" ht="15" hidden="false" customHeight="false" outlineLevel="0" collapsed="false">
      <c r="B25" s="49" t="n">
        <v>10</v>
      </c>
      <c r="C25" s="49" t="str">
        <f aca="false">INDEX(개인별정산!$B$6:$B$30,MATCH(LARGE($I$16:$I$40,B25),$I$16:$I$40,0))</f>
        <v>U008</v>
      </c>
      <c r="D25" s="44" t="str">
        <f aca="false">INDEX(개인별정산!$C$6:$C$30,MATCH(LARGE($I$16:$I$40,B25),$I$16:$I$40,0))</f>
        <v>참여자 8</v>
      </c>
      <c r="E25" s="50" t="n">
        <f aca="false">ROUND(LARGE($I$16:$I$40,B25),0)</f>
        <v>135</v>
      </c>
      <c r="F25" s="51" t="n">
        <f aca="false">IF(E25&lt;=0,0,MIN($D$8,CEILING(E25/$D$12*$D$8,$D$9)))</f>
        <v>2</v>
      </c>
      <c r="G25" s="51" t="n">
        <f aca="false">G24+H25</f>
        <v>30.5</v>
      </c>
      <c r="H25" s="51" t="n">
        <f aca="false">IF(G24&gt;=$D$7,0,MIN(F25,FLOOR($D$7-G24,$D$9)))</f>
        <v>2</v>
      </c>
      <c r="I25" s="52" t="n">
        <f aca="false">개인별정산!P15+(30-15)*0.000001</f>
        <v>141.000015</v>
      </c>
    </row>
    <row r="26" customFormat="false" ht="15" hidden="false" customHeight="false" outlineLevel="0" collapsed="false">
      <c r="B26" s="49" t="n">
        <v>11</v>
      </c>
      <c r="C26" s="49" t="str">
        <f aca="false">INDEX(개인별정산!$B$6:$B$30,MATCH(LARGE($I$16:$I$40,B26),$I$16:$I$40,0))</f>
        <v>U025</v>
      </c>
      <c r="D26" s="44" t="str">
        <f aca="false">INDEX(개인별정산!$C$6:$C$30,MATCH(LARGE($I$16:$I$40,B26),$I$16:$I$40,0))</f>
        <v>참여자 25</v>
      </c>
      <c r="E26" s="50" t="n">
        <f aca="false">ROUND(LARGE($I$16:$I$40,B26),0)</f>
        <v>132</v>
      </c>
      <c r="F26" s="51" t="n">
        <f aca="false">IF(E26&lt;=0,0,MIN($D$8,CEILING(E26/$D$12*$D$8,$D$9)))</f>
        <v>2</v>
      </c>
      <c r="G26" s="51" t="n">
        <f aca="false">G25+H26</f>
        <v>32.5</v>
      </c>
      <c r="H26" s="51" t="n">
        <f aca="false">IF(G25&gt;=$D$7,0,MIN(F26,FLOOR($D$7-G25,$D$9)))</f>
        <v>2</v>
      </c>
      <c r="I26" s="52" t="n">
        <f aca="false">개인별정산!P16+(30-16)*0.000001</f>
        <v>20.000014</v>
      </c>
    </row>
    <row r="27" customFormat="false" ht="15" hidden="false" customHeight="false" outlineLevel="0" collapsed="false">
      <c r="B27" s="49" t="n">
        <v>12</v>
      </c>
      <c r="C27" s="49" t="str">
        <f aca="false">INDEX(개인별정산!$B$6:$B$30,MATCH(LARGE($I$16:$I$40,B27),$I$16:$I$40,0))</f>
        <v>U017</v>
      </c>
      <c r="D27" s="44" t="str">
        <f aca="false">INDEX(개인별정산!$C$6:$C$30,MATCH(LARGE($I$16:$I$40,B27),$I$16:$I$40,0))</f>
        <v>참여자 17</v>
      </c>
      <c r="E27" s="50" t="n">
        <f aca="false">ROUND(LARGE($I$16:$I$40,B27),0)</f>
        <v>127</v>
      </c>
      <c r="F27" s="51" t="n">
        <f aca="false">IF(E27&lt;=0,0,MIN($D$8,CEILING(E27/$D$12*$D$8,$D$9)))</f>
        <v>2</v>
      </c>
      <c r="G27" s="51" t="n">
        <f aca="false">G26+H27</f>
        <v>34.5</v>
      </c>
      <c r="H27" s="51" t="n">
        <f aca="false">IF(G26&gt;=$D$7,0,MIN(F27,FLOOR($D$7-G26,$D$9)))</f>
        <v>2</v>
      </c>
      <c r="I27" s="52" t="n">
        <f aca="false">개인별정산!P17+(30-17)*0.000001</f>
        <v>122.000013</v>
      </c>
    </row>
    <row r="28" customFormat="false" ht="15" hidden="false" customHeight="false" outlineLevel="0" collapsed="false">
      <c r="B28" s="49" t="n">
        <v>13</v>
      </c>
      <c r="C28" s="49" t="str">
        <f aca="false">INDEX(개인별정산!$B$6:$B$30,MATCH(LARGE($I$16:$I$40,B28),$I$16:$I$40,0))</f>
        <v>U003</v>
      </c>
      <c r="D28" s="44" t="str">
        <f aca="false">INDEX(개인별정산!$C$6:$C$30,MATCH(LARGE($I$16:$I$40,B28),$I$16:$I$40,0))</f>
        <v>작성자 C</v>
      </c>
      <c r="E28" s="50" t="n">
        <f aca="false">ROUND(LARGE($I$16:$I$40,B28),0)</f>
        <v>124</v>
      </c>
      <c r="F28" s="51" t="n">
        <f aca="false">IF(E28&lt;=0,0,MIN($D$8,CEILING(E28/$D$12*$D$8,$D$9)))</f>
        <v>2</v>
      </c>
      <c r="G28" s="51" t="n">
        <f aca="false">G27+H28</f>
        <v>36.5</v>
      </c>
      <c r="H28" s="51" t="n">
        <f aca="false">IF(G27&gt;=$D$7,0,MIN(F28,FLOOR($D$7-G27,$D$9)))</f>
        <v>2</v>
      </c>
      <c r="I28" s="52" t="n">
        <f aca="false">개인별정산!P18+(30-18)*0.000001</f>
        <v>48.000012</v>
      </c>
    </row>
    <row r="29" customFormat="false" ht="15" hidden="false" customHeight="false" outlineLevel="0" collapsed="false">
      <c r="B29" s="49" t="n">
        <v>14</v>
      </c>
      <c r="C29" s="49" t="str">
        <f aca="false">INDEX(개인별정산!$B$6:$B$30,MATCH(LARGE($I$16:$I$40,B29),$I$16:$I$40,0))</f>
        <v>U012</v>
      </c>
      <c r="D29" s="44" t="str">
        <f aca="false">INDEX(개인별정산!$C$6:$C$30,MATCH(LARGE($I$16:$I$40,B29),$I$16:$I$40,0))</f>
        <v>참여자 12</v>
      </c>
      <c r="E29" s="50" t="n">
        <f aca="false">ROUND(LARGE($I$16:$I$40,B29),0)</f>
        <v>122</v>
      </c>
      <c r="F29" s="51" t="n">
        <f aca="false">IF(E29&lt;=0,0,MIN($D$8,CEILING(E29/$D$12*$D$8,$D$9)))</f>
        <v>2</v>
      </c>
      <c r="G29" s="51" t="n">
        <f aca="false">G28+H29</f>
        <v>38.5</v>
      </c>
      <c r="H29" s="51" t="n">
        <f aca="false">IF(G28&gt;=$D$7,0,MIN(F29,FLOOR($D$7-G28,$D$9)))</f>
        <v>2</v>
      </c>
      <c r="I29" s="52" t="n">
        <f aca="false">개인별정산!P19+(30-19)*0.000001</f>
        <v>82.000011</v>
      </c>
    </row>
    <row r="30" customFormat="false" ht="15" hidden="false" customHeight="false" outlineLevel="0" collapsed="false">
      <c r="B30" s="49" t="n">
        <v>15</v>
      </c>
      <c r="C30" s="49" t="str">
        <f aca="false">INDEX(개인별정산!$B$6:$B$30,MATCH(LARGE($I$16:$I$40,B30),$I$16:$I$40,0))</f>
        <v>U006</v>
      </c>
      <c r="D30" s="44" t="str">
        <f aca="false">INDEX(개인별정산!$C$6:$C$30,MATCH(LARGE($I$16:$I$40,B30),$I$16:$I$40,0))</f>
        <v>참여자 6</v>
      </c>
      <c r="E30" s="50" t="n">
        <f aca="false">ROUND(LARGE($I$16:$I$40,B30),0)</f>
        <v>109</v>
      </c>
      <c r="F30" s="51" t="n">
        <f aca="false">IF(E30&lt;=0,0,MIN($D$8,CEILING(E30/$D$12*$D$8,$D$9)))</f>
        <v>2</v>
      </c>
      <c r="G30" s="51" t="n">
        <f aca="false">G29+H30</f>
        <v>40.5</v>
      </c>
      <c r="H30" s="51" t="n">
        <f aca="false">IF(G29&gt;=$D$7,0,MIN(F30,FLOOR($D$7-G29,$D$9)))</f>
        <v>2</v>
      </c>
      <c r="I30" s="52" t="n">
        <f aca="false">개인별정산!P20+(30-20)*0.000001</f>
        <v>188.00001</v>
      </c>
    </row>
    <row r="31" customFormat="false" ht="15" hidden="false" customHeight="false" outlineLevel="0" collapsed="false">
      <c r="B31" s="49" t="n">
        <v>16</v>
      </c>
      <c r="C31" s="49" t="str">
        <f aca="false">INDEX(개인별정산!$B$6:$B$30,MATCH(LARGE($I$16:$I$40,B31),$I$16:$I$40,0))</f>
        <v>U019</v>
      </c>
      <c r="D31" s="44" t="str">
        <f aca="false">INDEX(개인별정산!$C$6:$C$30,MATCH(LARGE($I$16:$I$40,B31),$I$16:$I$40,0))</f>
        <v>참여자 19</v>
      </c>
      <c r="E31" s="50" t="n">
        <f aca="false">ROUND(LARGE($I$16:$I$40,B31),0)</f>
        <v>106</v>
      </c>
      <c r="F31" s="51" t="n">
        <f aca="false">IF(E31&lt;=0,0,MIN($D$8,CEILING(E31/$D$12*$D$8,$D$9)))</f>
        <v>2</v>
      </c>
      <c r="G31" s="51" t="n">
        <f aca="false">G30+H31</f>
        <v>42.5</v>
      </c>
      <c r="H31" s="51" t="n">
        <f aca="false">IF(G30&gt;=$D$7,0,MIN(F31,FLOOR($D$7-G30,$D$9)))</f>
        <v>2</v>
      </c>
      <c r="I31" s="52" t="n">
        <f aca="false">개인별정산!P21+(30-21)*0.000001</f>
        <v>79.000009</v>
      </c>
    </row>
    <row r="32" customFormat="false" ht="15" hidden="false" customHeight="false" outlineLevel="0" collapsed="false">
      <c r="B32" s="49" t="n">
        <v>17</v>
      </c>
      <c r="C32" s="49" t="str">
        <f aca="false">INDEX(개인별정산!$B$6:$B$30,MATCH(LARGE($I$16:$I$40,B32),$I$16:$I$40,0))</f>
        <v>U007</v>
      </c>
      <c r="D32" s="44" t="str">
        <f aca="false">INDEX(개인별정산!$C$6:$C$30,MATCH(LARGE($I$16:$I$40,B32),$I$16:$I$40,0))</f>
        <v>참여자 7</v>
      </c>
      <c r="E32" s="50" t="n">
        <f aca="false">ROUND(LARGE($I$16:$I$40,B32),0)</f>
        <v>104</v>
      </c>
      <c r="F32" s="51" t="n">
        <f aca="false">IF(E32&lt;=0,0,MIN($D$8,CEILING(E32/$D$12*$D$8,$D$9)))</f>
        <v>1.5</v>
      </c>
      <c r="G32" s="51" t="n">
        <f aca="false">G31+H32</f>
        <v>44</v>
      </c>
      <c r="H32" s="51" t="n">
        <f aca="false">IF(G31&gt;=$D$7,0,MIN(F32,FLOOR($D$7-G31,$D$9)))</f>
        <v>1.5</v>
      </c>
      <c r="I32" s="52" t="n">
        <f aca="false">개인별정산!P22+(30-22)*0.000001</f>
        <v>127.000008</v>
      </c>
    </row>
    <row r="33" customFormat="false" ht="15" hidden="false" customHeight="false" outlineLevel="0" collapsed="false">
      <c r="B33" s="49" t="n">
        <v>18</v>
      </c>
      <c r="C33" s="49" t="str">
        <f aca="false">INDEX(개인별정산!$B$6:$B$30,MATCH(LARGE($I$16:$I$40,B33),$I$16:$I$40,0))</f>
        <v>U024</v>
      </c>
      <c r="D33" s="44" t="str">
        <f aca="false">INDEX(개인별정산!$C$6:$C$30,MATCH(LARGE($I$16:$I$40,B33),$I$16:$I$40,0))</f>
        <v>참여자 24</v>
      </c>
      <c r="E33" s="50" t="n">
        <f aca="false">ROUND(LARGE($I$16:$I$40,B33),0)</f>
        <v>94</v>
      </c>
      <c r="F33" s="51" t="n">
        <f aca="false">IF(E33&lt;=0,0,MIN($D$8,CEILING(E33/$D$12*$D$8,$D$9)))</f>
        <v>1.5</v>
      </c>
      <c r="G33" s="51" t="n">
        <f aca="false">G32+H33</f>
        <v>45.5</v>
      </c>
      <c r="H33" s="51" t="n">
        <f aca="false">IF(G32&gt;=$D$7,0,MIN(F33,FLOOR($D$7-G32,$D$9)))</f>
        <v>1.5</v>
      </c>
      <c r="I33" s="52" t="n">
        <f aca="false">개인별정산!P23+(30-23)*0.000001</f>
        <v>38.000007</v>
      </c>
    </row>
    <row r="34" customFormat="false" ht="15" hidden="false" customHeight="false" outlineLevel="0" collapsed="false">
      <c r="B34" s="49" t="n">
        <v>19</v>
      </c>
      <c r="C34" s="49" t="str">
        <f aca="false">INDEX(개인별정산!$B$6:$B$30,MATCH(LARGE($I$16:$I$40,B34),$I$16:$I$40,0))</f>
        <v>U014</v>
      </c>
      <c r="D34" s="44" t="str">
        <f aca="false">INDEX(개인별정산!$C$6:$C$30,MATCH(LARGE($I$16:$I$40,B34),$I$16:$I$40,0))</f>
        <v>참여자 14</v>
      </c>
      <c r="E34" s="50" t="n">
        <f aca="false">ROUND(LARGE($I$16:$I$40,B34),0)</f>
        <v>82</v>
      </c>
      <c r="F34" s="51" t="n">
        <f aca="false">IF(E34&lt;=0,0,MIN($D$8,CEILING(E34/$D$12*$D$8,$D$9)))</f>
        <v>1.5</v>
      </c>
      <c r="G34" s="51" t="n">
        <f aca="false">G33+H34</f>
        <v>47</v>
      </c>
      <c r="H34" s="51" t="n">
        <f aca="false">IF(G33&gt;=$D$7,0,MIN(F34,FLOOR($D$7-G33,$D$9)))</f>
        <v>1.5</v>
      </c>
      <c r="I34" s="52" t="n">
        <f aca="false">개인별정산!P24+(30-24)*0.000001</f>
        <v>106.000006</v>
      </c>
    </row>
    <row r="35" customFormat="false" ht="15" hidden="false" customHeight="false" outlineLevel="0" collapsed="false">
      <c r="B35" s="49" t="n">
        <v>20</v>
      </c>
      <c r="C35" s="49" t="str">
        <f aca="false">INDEX(개인별정산!$B$6:$B$30,MATCH(LARGE($I$16:$I$40,B35),$I$16:$I$40,0))</f>
        <v>U016</v>
      </c>
      <c r="D35" s="44" t="str">
        <f aca="false">INDEX(개인별정산!$C$6:$C$30,MATCH(LARGE($I$16:$I$40,B35),$I$16:$I$40,0))</f>
        <v>참여자 16</v>
      </c>
      <c r="E35" s="50" t="n">
        <f aca="false">ROUND(LARGE($I$16:$I$40,B35),0)</f>
        <v>79</v>
      </c>
      <c r="F35" s="51" t="n">
        <f aca="false">IF(E35&lt;=0,0,MIN($D$8,CEILING(E35/$D$12*$D$8,$D$9)))</f>
        <v>1.5</v>
      </c>
      <c r="G35" s="51" t="n">
        <f aca="false">G34+H35</f>
        <v>48.5</v>
      </c>
      <c r="H35" s="51" t="n">
        <f aca="false">IF(G34&gt;=$D$7,0,MIN(F35,FLOOR($D$7-G34,$D$9)))</f>
        <v>1.5</v>
      </c>
      <c r="I35" s="52" t="n">
        <f aca="false">개인별정산!P25+(30-25)*0.000001</f>
        <v>152.000005</v>
      </c>
    </row>
    <row r="36" customFormat="false" ht="15" hidden="false" customHeight="false" outlineLevel="0" collapsed="false">
      <c r="B36" s="49" t="n">
        <v>21</v>
      </c>
      <c r="C36" s="49" t="str">
        <f aca="false">INDEX(개인별정산!$B$6:$B$30,MATCH(LARGE($I$16:$I$40,B36),$I$16:$I$40,0))</f>
        <v>U005</v>
      </c>
      <c r="D36" s="44" t="str">
        <f aca="false">INDEX(개인별정산!$C$6:$C$30,MATCH(LARGE($I$16:$I$40,B36),$I$16:$I$40,0))</f>
        <v>열람자 E</v>
      </c>
      <c r="E36" s="50" t="n">
        <f aca="false">ROUND(LARGE($I$16:$I$40,B36),0)</f>
        <v>60</v>
      </c>
      <c r="F36" s="51" t="n">
        <f aca="false">IF(E36&lt;=0,0,MIN($D$8,CEILING(E36/$D$12*$D$8,$D$9)))</f>
        <v>1</v>
      </c>
      <c r="G36" s="51" t="n">
        <f aca="false">G35+H36</f>
        <v>49.5</v>
      </c>
      <c r="H36" s="51" t="n">
        <f aca="false">IF(G35&gt;=$D$7,0,MIN(F36,FLOOR($D$7-G35,$D$9)))</f>
        <v>1</v>
      </c>
      <c r="I36" s="52" t="n">
        <f aca="false">개인별정산!P26+(30-26)*0.000001</f>
        <v>136.000004</v>
      </c>
    </row>
    <row r="37" customFormat="false" ht="15" hidden="false" customHeight="false" outlineLevel="0" collapsed="false">
      <c r="B37" s="49" t="n">
        <v>22</v>
      </c>
      <c r="C37" s="49" t="str">
        <f aca="false">INDEX(개인별정산!$B$6:$B$30,MATCH(LARGE($I$16:$I$40,B37),$I$16:$I$40,0))</f>
        <v>U009</v>
      </c>
      <c r="D37" s="44" t="str">
        <f aca="false">INDEX(개인별정산!$C$6:$C$30,MATCH(LARGE($I$16:$I$40,B37),$I$16:$I$40,0))</f>
        <v>참여자 9</v>
      </c>
      <c r="E37" s="50" t="n">
        <f aca="false">ROUND(LARGE($I$16:$I$40,B37),0)</f>
        <v>54</v>
      </c>
      <c r="F37" s="51" t="n">
        <f aca="false">IF(E37&lt;=0,0,MIN($D$8,CEILING(E37/$D$12*$D$8,$D$9)))</f>
        <v>1</v>
      </c>
      <c r="G37" s="51" t="n">
        <f aca="false">G36+H37</f>
        <v>50.5</v>
      </c>
      <c r="H37" s="51" t="n">
        <f aca="false">IF(G36&gt;=$D$7,0,MIN(F37,FLOOR($D$7-G36,$D$9)))</f>
        <v>1</v>
      </c>
      <c r="I37" s="52" t="n">
        <f aca="false">개인별정산!P27+(30-27)*0.000001</f>
        <v>139.000003</v>
      </c>
    </row>
    <row r="38" customFormat="false" ht="15" hidden="false" customHeight="false" outlineLevel="0" collapsed="false">
      <c r="B38" s="49" t="n">
        <v>23</v>
      </c>
      <c r="C38" s="49" t="str">
        <f aca="false">INDEX(개인별정산!$B$6:$B$30,MATCH(LARGE($I$16:$I$40,B38),$I$16:$I$40,0))</f>
        <v>U013</v>
      </c>
      <c r="D38" s="44" t="str">
        <f aca="false">INDEX(개인별정산!$C$6:$C$30,MATCH(LARGE($I$16:$I$40,B38),$I$16:$I$40,0))</f>
        <v>참여자 13</v>
      </c>
      <c r="E38" s="50" t="n">
        <f aca="false">ROUND(LARGE($I$16:$I$40,B38),0)</f>
        <v>48</v>
      </c>
      <c r="F38" s="51" t="n">
        <f aca="false">IF(E38&lt;=0,0,MIN($D$8,CEILING(E38/$D$12*$D$8,$D$9)))</f>
        <v>1</v>
      </c>
      <c r="G38" s="51" t="n">
        <f aca="false">G37+H38</f>
        <v>51.5</v>
      </c>
      <c r="H38" s="51" t="n">
        <f aca="false">IF(G37&gt;=$D$7,0,MIN(F38,FLOOR($D$7-G37,$D$9)))</f>
        <v>1</v>
      </c>
      <c r="I38" s="52" t="n">
        <f aca="false">개인별정산!P28+(30-28)*0.000001</f>
        <v>153.000002</v>
      </c>
    </row>
    <row r="39" customFormat="false" ht="15" hidden="false" customHeight="false" outlineLevel="0" collapsed="false">
      <c r="B39" s="49" t="n">
        <v>24</v>
      </c>
      <c r="C39" s="49" t="str">
        <f aca="false">INDEX(개인별정산!$B$6:$B$30,MATCH(LARGE($I$16:$I$40,B39),$I$16:$I$40,0))</f>
        <v>U018</v>
      </c>
      <c r="D39" s="44" t="str">
        <f aca="false">INDEX(개인별정산!$C$6:$C$30,MATCH(LARGE($I$16:$I$40,B39),$I$16:$I$40,0))</f>
        <v>참여자 18</v>
      </c>
      <c r="E39" s="50" t="n">
        <f aca="false">ROUND(LARGE($I$16:$I$40,B39),0)</f>
        <v>38</v>
      </c>
      <c r="F39" s="51" t="n">
        <f aca="false">IF(E39&lt;=0,0,MIN($D$8,CEILING(E39/$D$12*$D$8,$D$9)))</f>
        <v>1</v>
      </c>
      <c r="G39" s="51" t="n">
        <f aca="false">G38+H39</f>
        <v>52.5</v>
      </c>
      <c r="H39" s="51" t="n">
        <f aca="false">IF(G38&gt;=$D$7,0,MIN(F39,FLOOR($D$7-G38,$D$9)))</f>
        <v>1</v>
      </c>
      <c r="I39" s="52" t="n">
        <f aca="false">개인별정산!P29+(30-29)*0.000001</f>
        <v>94.000001</v>
      </c>
    </row>
    <row r="40" customFormat="false" ht="15" hidden="false" customHeight="false" outlineLevel="0" collapsed="false">
      <c r="B40" s="49" t="n">
        <v>25</v>
      </c>
      <c r="C40" s="49" t="str">
        <f aca="false">INDEX(개인별정산!$B$6:$B$30,MATCH(LARGE($I$16:$I$40,B40),$I$16:$I$40,0))</f>
        <v>U011</v>
      </c>
      <c r="D40" s="44" t="str">
        <f aca="false">INDEX(개인별정산!$C$6:$C$30,MATCH(LARGE($I$16:$I$40,B40),$I$16:$I$40,0))</f>
        <v>참여자 11</v>
      </c>
      <c r="E40" s="50" t="n">
        <f aca="false">ROUND(LARGE($I$16:$I$40,B40),0)</f>
        <v>20</v>
      </c>
      <c r="F40" s="51" t="n">
        <f aca="false">IF(E40&lt;=0,0,MIN($D$8,CEILING(E40/$D$12*$D$8,$D$9)))</f>
        <v>0.5</v>
      </c>
      <c r="G40" s="51" t="n">
        <f aca="false">G39+H40</f>
        <v>53</v>
      </c>
      <c r="H40" s="51" t="n">
        <f aca="false">IF(G39&gt;=$D$7,0,MIN(F40,FLOOR($D$7-G39,$D$9)))</f>
        <v>0.5</v>
      </c>
      <c r="I40" s="52" t="n">
        <f aca="false">개인별정산!P30+(30-30)*0.000001</f>
        <v>132</v>
      </c>
    </row>
    <row r="42" customFormat="false" ht="15" hidden="false" customHeight="false" outlineLevel="0" collapsed="false">
      <c r="B42" s="41" t="s">
        <v>247</v>
      </c>
    </row>
    <row r="43" customFormat="false" ht="15" hidden="false" customHeight="false" outlineLevel="0" collapsed="false">
      <c r="B43" s="44" t="s">
        <v>248</v>
      </c>
      <c r="C43" s="44"/>
      <c r="D43" s="44"/>
      <c r="E43" s="53" t="n">
        <f aca="false">COUNTIF(H16:H40,"&gt;0")</f>
        <v>25</v>
      </c>
      <c r="F43" s="39" t="s">
        <v>249</v>
      </c>
    </row>
    <row r="44" customFormat="false" ht="15" hidden="false" customHeight="false" outlineLevel="0" collapsed="false">
      <c r="B44" s="44" t="s">
        <v>250</v>
      </c>
      <c r="C44" s="44"/>
      <c r="D44" s="44"/>
      <c r="E44" s="54" t="n">
        <f aca="false">SUM(H16:H40)</f>
        <v>53</v>
      </c>
      <c r="F44" s="39" t="str">
        <f aca="false">IF(SUM(H16:H40)&gt;=$D$7,"재원 전액 소진 — 하위 순위 컷 발생","재원 내 — 전원 배분")</f>
        <v>재원 내 — 전원 배분</v>
      </c>
    </row>
    <row r="45" customFormat="false" ht="15" hidden="false" customHeight="false" outlineLevel="0" collapsed="false">
      <c r="B45" s="44" t="s">
        <v>251</v>
      </c>
      <c r="C45" s="44"/>
      <c r="D45" s="44"/>
      <c r="E45" s="54" t="n">
        <f aca="false">$D$7-SUM(H16:H40)</f>
        <v>47</v>
      </c>
      <c r="F45" s="39" t="s">
        <v>252</v>
      </c>
    </row>
    <row r="46" customFormat="false" ht="15" hidden="false" customHeight="false" outlineLevel="0" collapsed="false">
      <c r="B46" s="44" t="s">
        <v>253</v>
      </c>
      <c r="C46" s="44"/>
      <c r="D46" s="44"/>
      <c r="E46" s="54" t="n">
        <f aca="false">MAX(H16:H40)</f>
        <v>5</v>
      </c>
      <c r="F46" s="39" t="s">
        <v>252</v>
      </c>
    </row>
    <row r="47" customFormat="false" ht="15" hidden="false" customHeight="false" outlineLevel="0" collapsed="false">
      <c r="B47" s="44" t="s">
        <v>254</v>
      </c>
      <c r="C47" s="44"/>
      <c r="D47" s="44"/>
      <c r="E47" s="53" t="n">
        <f aca="false">INDEX(E16:E40,COUNTIF(H16:H40,"&gt;0"))</f>
        <v>20</v>
      </c>
      <c r="F47" s="39" t="s">
        <v>255</v>
      </c>
    </row>
    <row r="50" customFormat="false" ht="15" hidden="false" customHeight="false" outlineLevel="0" collapsed="false">
      <c r="B50" s="41" t="s">
        <v>216</v>
      </c>
    </row>
    <row r="51" customFormat="false" ht="15" hidden="false" customHeight="false" outlineLevel="0" collapsed="false">
      <c r="B51" s="37" t="s">
        <v>256</v>
      </c>
    </row>
    <row r="52" customFormat="false" ht="15" hidden="false" customHeight="false" outlineLevel="0" collapsed="false">
      <c r="B52" s="37" t="s">
        <v>257</v>
      </c>
    </row>
    <row r="53" customFormat="false" ht="15" hidden="false" customHeight="false" outlineLevel="0" collapsed="false">
      <c r="B53" s="37" t="s">
        <v>258</v>
      </c>
    </row>
    <row r="54" customFormat="false" ht="15" hidden="false" customHeight="false" outlineLevel="0" collapsed="false">
      <c r="B54" s="37" t="s">
        <v>259</v>
      </c>
    </row>
    <row r="55" customFormat="false" ht="15" hidden="false" customHeight="false" outlineLevel="0" collapsed="false">
      <c r="B55" s="37" t="s">
        <v>260</v>
      </c>
    </row>
    <row r="56" customFormat="false" ht="15" hidden="false" customHeight="false" outlineLevel="0" collapsed="false">
      <c r="B56" s="37" t="s">
        <v>261</v>
      </c>
    </row>
  </sheetData>
  <mergeCells count="11">
    <mergeCell ref="B6:C6"/>
    <mergeCell ref="B7:C7"/>
    <mergeCell ref="B8:C8"/>
    <mergeCell ref="B9:C9"/>
    <mergeCell ref="B10:C10"/>
    <mergeCell ref="B12:C12"/>
    <mergeCell ref="B43:D43"/>
    <mergeCell ref="B44:D44"/>
    <mergeCell ref="B45:D45"/>
    <mergeCell ref="B46:D46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2026-08-10T05:20:38Z</dcterms:created>
  <dc:creator>openpyxl</dc:creator>
  <dc:description/>
  <dc:language>en-US</dc:language>
  <cp:lastModifiedBy/>
  <dcterms:modified xsi:type="dcterms:W3CDTF">2026-08-27T01:14:15Z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